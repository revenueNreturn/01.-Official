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1. Official\07. দাবী বিল নিলাম\"/>
    </mc:Choice>
  </mc:AlternateContent>
  <bookViews>
    <workbookView xWindow="0" yWindow="0" windowWidth="16380" windowHeight="8190" tabRatio="500"/>
  </bookViews>
  <sheets>
    <sheet name="Sheet1" sheetId="1" r:id="rId1"/>
    <sheet name="Sheet2" sheetId="2" r:id="rId2"/>
  </sheets>
  <functionGroups builtInGroupCount="18"/>
  <calcPr calcId="152511" iterateDelta="1E-4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G199" i="1" l="1"/>
  <c r="G173" i="1"/>
  <c r="D11" i="2" l="1"/>
  <c r="D10" i="2"/>
  <c r="D9" i="2"/>
  <c r="D8" i="2"/>
  <c r="D7" i="2"/>
  <c r="D6" i="2"/>
  <c r="D5" i="2"/>
  <c r="D4" i="2"/>
  <c r="D3" i="2"/>
  <c r="D2" i="2"/>
  <c r="F2" i="2" s="1"/>
  <c r="E3" i="2" s="1"/>
  <c r="F3" i="2" s="1"/>
  <c r="E4" i="2" s="1"/>
  <c r="F4" i="2" s="1"/>
  <c r="E5" i="2" s="1"/>
  <c r="F5" i="2" l="1"/>
  <c r="E6" i="2" s="1"/>
  <c r="F6" i="2" s="1"/>
  <c r="E7" i="2" s="1"/>
  <c r="F7" i="2" s="1"/>
  <c r="E8" i="2" s="1"/>
  <c r="F8" i="2" s="1"/>
  <c r="E9" i="2" s="1"/>
  <c r="F9" i="2" s="1"/>
  <c r="E10" i="2" s="1"/>
  <c r="F10" i="2" s="1"/>
  <c r="E11" i="2" s="1"/>
  <c r="F11" i="2" s="1"/>
</calcChain>
</file>

<file path=xl/sharedStrings.xml><?xml version="1.0" encoding="utf-8"?>
<sst xmlns="http://schemas.openxmlformats.org/spreadsheetml/2006/main" count="329" uniqueCount="119">
  <si>
    <t xml:space="preserve">মোংলা বন্দর কর্তৃপক্ষ </t>
  </si>
  <si>
    <t xml:space="preserve">মোংলা, বাগেরহাট। </t>
  </si>
  <si>
    <t xml:space="preserve">ক্রেতার নামঃ </t>
  </si>
  <si>
    <t xml:space="preserve">জনাব সাইক উল আনাম, </t>
  </si>
  <si>
    <t xml:space="preserve">মাছিমপুর, ধোপাবাড়ি সড়ক, </t>
  </si>
  <si>
    <t xml:space="preserve">দাবি বিল নং- ১৮০, তাং- ১২/০৩/২০২৪ খ্রিঃ </t>
  </si>
  <si>
    <t xml:space="preserve">পিরোজপুর।  </t>
  </si>
  <si>
    <t xml:space="preserve">নিলাম সেল নং- ০৬/২০২৩ এবং লট নং- ০৮ </t>
  </si>
  <si>
    <t xml:space="preserve">এর মালামাল। </t>
  </si>
  <si>
    <t xml:space="preserve">ডেলিভারীর তারিখ- ১২/০২/২০২৪ খ্রিঃ </t>
  </si>
  <si>
    <t xml:space="preserve">ইয়ার্ড নং- ৭ </t>
  </si>
  <si>
    <t xml:space="preserve">বিষয়ঃ </t>
  </si>
  <si>
    <t xml:space="preserve">নিলামের মাধ্যমে বিক্রিত মালামালের দাবী বিল। </t>
  </si>
  <si>
    <t xml:space="preserve">সূত্রঃ </t>
  </si>
  <si>
    <t xml:space="preserve">১। এস/২১/নিলাম/০৬-২০২৩/মোংলা/২৩-২৪/১১৫৮, তারিখঃ ১২/০২/২০২৪ খ্রিঃ </t>
  </si>
  <si>
    <t xml:space="preserve">ক্রমিক নং </t>
  </si>
  <si>
    <t xml:space="preserve">যে প্রতিষ্ঠানের নিকট বন্দর মাশুল প্রাপ্য তার নাম ঠিকানা </t>
  </si>
  <si>
    <t xml:space="preserve">নিলামকৃত মালামালের বিবরন </t>
  </si>
  <si>
    <t xml:space="preserve">পরিমান </t>
  </si>
  <si>
    <t xml:space="preserve">ওজন (মেঃ টঃ) </t>
  </si>
  <si>
    <t xml:space="preserve">নিলামকৃত মূল্য (টাকা) </t>
  </si>
  <si>
    <t xml:space="preserve">বন্দর কর্তৃপক্ষের প্রাপ্য অংশের পরিমাণ (টাকা)  </t>
  </si>
  <si>
    <t xml:space="preserve">মন্তব্য </t>
  </si>
  <si>
    <t xml:space="preserve">০১। </t>
  </si>
  <si>
    <t xml:space="preserve">ডেপুটি কমিশনার (নিলাম) </t>
  </si>
  <si>
    <t xml:space="preserve">আমদানিকৃত গাড়ীর চেসিস নং- </t>
  </si>
  <si>
    <t xml:space="preserve">* </t>
  </si>
  <si>
    <t xml:space="preserve">মবক এর টি এম বিজ্ঞপ্তি নং- ০১/৮৯, তাং- ০৮/০১/১৯৮৯ এর ৬ নং ধারা এবং মোংলা কাস্টম হাউস কর্তৃক জারীকৃত স্থায়ী আদেশ নং- ০১/১৪, তাং- ১০/০৪/২০১৪ এর ১৪ নং অনুচ্ছেদ অনুযায়ী নিলামে বিক্রিত মূল্যের ১৫% কর্তৃপক্ষের প্রাপ্য হবে। </t>
  </si>
  <si>
    <t xml:space="preserve">মোংলা শুল্ক ভবন, মোংলা </t>
  </si>
  <si>
    <t xml:space="preserve">(ইউনিট) </t>
  </si>
  <si>
    <t xml:space="preserve">(তিন লক্ষ ঊনচল্লিশ হাজার একশত পঞ্চাশ টাকা) মাত্র। </t>
  </si>
  <si>
    <t>ZRR80-0441125</t>
  </si>
  <si>
    <t xml:space="preserve">প্রস্তুতকারী </t>
  </si>
  <si>
    <t xml:space="preserve">পরীক্ষা ও যাচাইকারী, টি আই (রাজস্ব) </t>
  </si>
  <si>
    <t xml:space="preserve">ট্রাফিক অফিসার (ডকু ও রাজস্ব) </t>
  </si>
  <si>
    <t xml:space="preserve">জনাব মোনায়েম খান, </t>
  </si>
  <si>
    <t xml:space="preserve">উত্তর গোবিন্দার খালি, পটিয়া, </t>
  </si>
  <si>
    <t xml:space="preserve">দাবি বিল নং- ১৮১, তাং- ১২/০৩/২০২৪ খ্রিঃ </t>
  </si>
  <si>
    <t xml:space="preserve">চট্টগ্রাম।  </t>
  </si>
  <si>
    <t xml:space="preserve">নিলাম সেল নং- ০৬/২০২৩ এবং লট নং- ০৭ </t>
  </si>
  <si>
    <t xml:space="preserve">ডেলিভারীর তারিখ- ১৪/০২/২০২৪ খ্রিঃ </t>
  </si>
  <si>
    <t xml:space="preserve">১। এস/২১/নিলাম/০৬-২০২৩/মোংলা/২৩-২৪/১২৩২, তারিখঃ ১৪/০২/২০২৪ খ্রিঃ </t>
  </si>
  <si>
    <t xml:space="preserve">(তিন লক্ষ আটান্ন হাজার পাঁচশত পঁচাত্তর টাকা) মাত্র। </t>
  </si>
  <si>
    <t xml:space="preserve">TRH200-0297310 </t>
  </si>
  <si>
    <t>Serial No</t>
  </si>
  <si>
    <t>Cargo Type</t>
  </si>
  <si>
    <t xml:space="preserve">Auction Price </t>
  </si>
  <si>
    <t>MPA Demand (15/20)%</t>
  </si>
  <si>
    <t>MPA Previous Demand</t>
  </si>
  <si>
    <t>MPA Total Demand</t>
  </si>
  <si>
    <t>GC</t>
  </si>
  <si>
    <t xml:space="preserve">জনাব চৌধুরী মিরাজুর রহমান, </t>
  </si>
  <si>
    <t xml:space="preserve">খুলনা। </t>
  </si>
  <si>
    <t>নিলাম সেল নং- ০৬/২০২৩ এবং লট নং- ১১৮</t>
  </si>
  <si>
    <t xml:space="preserve">ডেলিভারীর তারিখ- ০১/০৪/২০২৪ খ্রিঃ </t>
  </si>
  <si>
    <t>ইয়ার্ড নং- ১</t>
  </si>
  <si>
    <t xml:space="preserve">১। এস/২১/নিলাম/০৬-২০২৩/মোংলা/২৩-২৪/২৭২৮ তারিখঃ ০১/০৪/২০২৪ খ্রিঃ </t>
  </si>
  <si>
    <t>GG2W-0006709</t>
  </si>
  <si>
    <t xml:space="preserve">৩৮ ইস্ট ব্লক, পুরাতন কলোনী, খালিশপুর, </t>
  </si>
  <si>
    <t xml:space="preserve">জনাব খন্দকার মাহামুদ ইলাহী (বিপ্লব), </t>
  </si>
  <si>
    <t>মেডিকেল রোড, ধাপ ভগি,</t>
  </si>
  <si>
    <t xml:space="preserve">রংপুর। </t>
  </si>
  <si>
    <t xml:space="preserve">ডেলিভারীর তারিখ- ৩০/০৪/২০২৪ খ্রিঃ </t>
  </si>
  <si>
    <t>ইয়ার্ড নং- ৭</t>
  </si>
  <si>
    <t>BU162-0001298</t>
  </si>
  <si>
    <t xml:space="preserve">মেসার্স রাসেল এন্টারপ্রাইজ, </t>
  </si>
  <si>
    <t>নিলাম সেল নং- ০১/২০২৪ এবং লট নং- ১৪৭</t>
  </si>
  <si>
    <t xml:space="preserve">ডেলিভারীর তারিখ- ০২/০৫/২০২৪ খ্রিঃ </t>
  </si>
  <si>
    <t xml:space="preserve">১। এস/২৯/নিলাম/০১-২০২৪/মোংলা/২৩-২৪/৩৫৬৩ তারিখঃ ৩০/০৪/২০২৪ খ্রিঃ </t>
  </si>
  <si>
    <t xml:space="preserve">১। এস/২৯/নিলাম/০১-২০২৪/মোংলা/২৩-২৪/৩৫৬২ তারিখঃ ৩০/০৪/২০২৪ খ্রিঃ </t>
  </si>
  <si>
    <t>FE517BD-400563</t>
  </si>
  <si>
    <t xml:space="preserve">(তিন লক্ষ পনেরো হাজার সাতশত পঞ্চাশ টাকা) মাত্র। </t>
  </si>
  <si>
    <t xml:space="preserve">(ছিয়াশি হাজার দুইশত পঞ্চাশ টাকা) মাত্র। </t>
  </si>
  <si>
    <t xml:space="preserve">জনাব এম, কে, নাফিস ইকবাল, </t>
  </si>
  <si>
    <t xml:space="preserve">ঝিনাইদহ। </t>
  </si>
  <si>
    <t>নিলাম সেল নং- ০৬/২০২৩ এবং লট নং- ১১</t>
  </si>
  <si>
    <t xml:space="preserve">ডেলিভারীর তারিখ- ০৮/০৫/২০২৪ খ্রিঃ </t>
  </si>
  <si>
    <t>শেড নং- ৫</t>
  </si>
  <si>
    <t>ZYX10-2119931</t>
  </si>
  <si>
    <t xml:space="preserve">দুই লক্ষ বিরাশি হাজার নয়শত পঁচাত্তর টাকা) মাত্র। </t>
  </si>
  <si>
    <t xml:space="preserve">হাউস নং-১৫৬, রোড নং-১, মুলাটোল, থানা রোড, </t>
  </si>
  <si>
    <t>হরিপুর, খড়িখালি, ঝিনাইদহ সদর,</t>
  </si>
  <si>
    <t xml:space="preserve">১। এস/২১/নিলাম/০৬-২০২৩/মোংলা/২৩-২৪/৩৮১৪ তারিখঃ ০৮/০৫/২০২৪ খ্রিঃ </t>
  </si>
  <si>
    <t>নিলাম সেল নং- ০১/২০২৪ এবং লট নং- ১৬২</t>
  </si>
  <si>
    <t xml:space="preserve">দাবি বিল নং- ১৮২, তাং- ২১/০৫/২০২৪ খ্রিঃ </t>
  </si>
  <si>
    <t xml:space="preserve">দাবি বিল নং- ১৮৩, তাং- ২১/০৫/২০২৪ খ্রিঃ </t>
  </si>
  <si>
    <t xml:space="preserve">দাবি বিল নং- ১৮৪ তাং- ২১/০৫/২০২৪ খ্রিঃ </t>
  </si>
  <si>
    <t xml:space="preserve">দাবি বিল নং- ১৮৫ তাং- ২১/০৫/২০২৪ খ্রিঃ </t>
  </si>
  <si>
    <t>ট্রাফিক অফিসার</t>
  </si>
  <si>
    <t xml:space="preserve">জনাব নাছির উদ্দিন ছোটন, </t>
  </si>
  <si>
    <t xml:space="preserve">দাবি বিল নং- ১৮৬ তাং-  খ্রিঃ </t>
  </si>
  <si>
    <t xml:space="preserve">শেড নং- </t>
  </si>
  <si>
    <t>নিলাম সেল নং- ০১/২০২৪ এবং লট নং- ২০৭</t>
  </si>
  <si>
    <t xml:space="preserve">ডেলিভারীর তারিখ- ৩০/০৫/২০২৪ খ্রিঃ </t>
  </si>
  <si>
    <t xml:space="preserve">১। এস/৩০/নিলাম/০২-২০২৪/মোংলা/২৩-২৪/৪৫৭৬ তারিখঃ ০৪/০৬/২০২৪ খ্রিঃ </t>
  </si>
  <si>
    <t xml:space="preserve">জনাব আশরাফুল ইসলাম চৌধুরী </t>
  </si>
  <si>
    <t xml:space="preserve">দোহার, সুতার পাড়া-১৩৩০, দোহার, </t>
  </si>
  <si>
    <t xml:space="preserve">ঢাকা। </t>
  </si>
  <si>
    <t>হক হাউজ, পশ্চিম খুলশী, পাহাড়তলী,</t>
  </si>
  <si>
    <t xml:space="preserve">দাবি বিল নং- ১৮৭ তাং-  খ্রিঃ </t>
  </si>
  <si>
    <t>নিলাম সেল নং- ০২/২৪ এবং লট নং- ৪৮</t>
  </si>
  <si>
    <t xml:space="preserve">ডেলিভারীর তারিখ- ০৪/০৬/২০২৪ খ্রিঃ </t>
  </si>
  <si>
    <t>RR80-0669077</t>
  </si>
  <si>
    <t>MSKU-5450979-20'</t>
  </si>
  <si>
    <t xml:space="preserve">আমদানিকৃত কন্টেইনার নং-  </t>
  </si>
  <si>
    <t xml:space="preserve">১। এস/২৯/নিলাম/০২-২০২৪/মোংলা/২৩-৪৪১৫ তারিখঃ ৩০/০৫/২০২৪ খ্রিঃ </t>
  </si>
  <si>
    <t xml:space="preserve">(চার লষ ) মাত্র। </t>
  </si>
  <si>
    <t xml:space="preserve">ইকবাল এন্টারপ্রাইজ, </t>
  </si>
  <si>
    <t xml:space="preserve">ফতেয়াবাদ, হাটহাজারী,  </t>
  </si>
  <si>
    <t xml:space="preserve">দাবি বিল নং- ১৮৯ তাং-  খ্রিঃ </t>
  </si>
  <si>
    <t xml:space="preserve">চট্টগ্রাম।    </t>
  </si>
  <si>
    <t xml:space="preserve">নিলাম সেল নং- ০২/২০২৪ এবং লট নং- ৭৫ </t>
  </si>
  <si>
    <t xml:space="preserve">ডেলিভারীর তারিখ- ১২/০৬/২০২৪ খ্রিঃ </t>
  </si>
  <si>
    <t>ওয়াহাউজ- এ</t>
  </si>
  <si>
    <t xml:space="preserve">১। এস/৩০/নিলাম/০২-২০২৪/মোংলা/২৩-২৪/৪৮০৯ তারিখঃ ১১/০৬/২০২৪ খ্রিঃ </t>
  </si>
  <si>
    <t>আমদানিকৃত গাড়ীর চেসিস নং-</t>
  </si>
  <si>
    <t>৫,৫৮,০০০.০০</t>
  </si>
  <si>
    <t xml:space="preserve">(তিরাশি হাজার সাত শত টাকা) মাত্র। </t>
  </si>
  <si>
    <t>TRH112-0012621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</si>
</sst>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5000445]0"/>
    <numFmt numFmtId="165" formatCode="[$-5000445]0.00"/>
    <numFmt numFmtId="170" formatCode="[$-5000445]#,##0.00"/>
  </numFmts>
  <fonts count="6" x14ac:knownFonts="1">
    <font>
      <sz val="10"/>
      <name val="Arial"/>
      <family val="2"/>
    </font>
    <font>
      <sz val="14"/>
      <name val="Nikosh"/>
    </font>
    <font>
      <u/>
      <sz val="14"/>
      <name val="Nikosh"/>
    </font>
    <font>
      <sz val="13"/>
      <name val="Times New Roman"/>
      <family val="1"/>
    </font>
    <font>
      <sz val="12"/>
      <name val="Times New Roman"/>
      <family val="1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0" borderId="0" xfId="0" applyFont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1" fillId="0" borderId="2" xfId="0" applyFont="1" applyBorder="1" applyAlignment="1" applyProtection="1">
      <alignment wrapText="1"/>
    </xf>
    <xf numFmtId="164" fontId="1" fillId="0" borderId="4" xfId="0" applyNumberFormat="1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vertical="center" wrapText="1"/>
    </xf>
    <xf numFmtId="164" fontId="1" fillId="0" borderId="4" xfId="0" applyNumberFormat="1" applyFont="1" applyBorder="1" applyAlignment="1" applyProtection="1">
      <alignment horizontal="center" vertical="center" wrapText="1"/>
    </xf>
    <xf numFmtId="164" fontId="1" fillId="0" borderId="4" xfId="0" applyNumberFormat="1" applyFont="1" applyBorder="1" applyAlignment="1" applyProtection="1">
      <alignment horizontal="right" vertical="top"/>
    </xf>
    <xf numFmtId="164" fontId="1" fillId="0" borderId="5" xfId="0" applyNumberFormat="1" applyFont="1" applyBorder="1" applyAlignment="1" applyProtection="1">
      <alignment horizontal="center" vertical="center"/>
    </xf>
    <xf numFmtId="0" fontId="1" fillId="0" borderId="5" xfId="0" applyFont="1" applyBorder="1" applyAlignment="1" applyProtection="1">
      <alignment vertical="center"/>
    </xf>
    <xf numFmtId="164" fontId="1" fillId="0" borderId="5" xfId="0" applyNumberFormat="1" applyFont="1" applyBorder="1" applyAlignment="1" applyProtection="1">
      <alignment horizontal="right" vertical="top"/>
    </xf>
    <xf numFmtId="0" fontId="1" fillId="0" borderId="0" xfId="0" applyFont="1" applyAlignment="1" applyProtection="1">
      <alignment horizontal="center" vertical="center" wrapText="1"/>
    </xf>
    <xf numFmtId="164" fontId="1" fillId="0" borderId="2" xfId="0" applyNumberFormat="1" applyFont="1" applyBorder="1" applyAlignment="1" applyProtection="1">
      <alignment horizontal="center" vertical="center"/>
    </xf>
    <xf numFmtId="165" fontId="1" fillId="0" borderId="2" xfId="0" applyNumberFormat="1" applyFont="1" applyBorder="1" applyAlignment="1" applyProtection="1">
      <alignment horizontal="right" vertical="center"/>
    </xf>
    <xf numFmtId="165" fontId="1" fillId="0" borderId="2" xfId="0" applyNumberFormat="1" applyFont="1" applyBorder="1" applyAlignment="1" applyProtection="1">
      <alignment vertical="center"/>
    </xf>
    <xf numFmtId="0" fontId="3" fillId="0" borderId="0" xfId="0" applyFont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center" vertical="center" wrapText="1"/>
    </xf>
    <xf numFmtId="0" fontId="1" fillId="2" borderId="0" xfId="0" applyFont="1" applyFill="1" applyAlignment="1" applyProtection="1">
      <alignment vertical="center"/>
    </xf>
    <xf numFmtId="0" fontId="1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1" fillId="2" borderId="1" xfId="0" applyFont="1" applyFill="1" applyBorder="1" applyAlignment="1" applyProtection="1">
      <alignment horizontal="center" vertical="center" wrapText="1"/>
    </xf>
    <xf numFmtId="164" fontId="1" fillId="2" borderId="2" xfId="0" applyNumberFormat="1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wrapText="1"/>
    </xf>
    <xf numFmtId="165" fontId="1" fillId="2" borderId="2" xfId="0" applyNumberFormat="1" applyFont="1" applyFill="1" applyBorder="1" applyAlignment="1" applyProtection="1">
      <alignment horizontal="right"/>
    </xf>
    <xf numFmtId="165" fontId="1" fillId="2" borderId="2" xfId="0" applyNumberFormat="1" applyFont="1" applyFill="1" applyBorder="1" applyAlignment="1" applyProtection="1"/>
    <xf numFmtId="164" fontId="1" fillId="2" borderId="4" xfId="0" applyNumberFormat="1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vertical="center" wrapText="1"/>
    </xf>
    <xf numFmtId="164" fontId="1" fillId="2" borderId="4" xfId="0" applyNumberFormat="1" applyFont="1" applyFill="1" applyBorder="1" applyAlignment="1" applyProtection="1">
      <alignment horizontal="center" vertical="center" wrapText="1"/>
    </xf>
    <xf numFmtId="164" fontId="1" fillId="2" borderId="4" xfId="0" applyNumberFormat="1" applyFont="1" applyFill="1" applyBorder="1" applyAlignment="1" applyProtection="1">
      <alignment horizontal="right" vertical="top"/>
    </xf>
    <xf numFmtId="164" fontId="1" fillId="2" borderId="5" xfId="0" applyNumberFormat="1" applyFont="1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vertical="center"/>
    </xf>
    <xf numFmtId="164" fontId="1" fillId="2" borderId="5" xfId="0" applyNumberFormat="1" applyFont="1" applyFill="1" applyBorder="1" applyAlignment="1" applyProtection="1">
      <alignment horizontal="right" vertical="top"/>
    </xf>
    <xf numFmtId="0" fontId="1" fillId="2" borderId="0" xfId="0" applyFont="1" applyFill="1" applyAlignment="1" applyProtection="1">
      <alignment horizontal="center" vertical="center" wrapText="1"/>
    </xf>
    <xf numFmtId="164" fontId="1" fillId="2" borderId="2" xfId="0" applyNumberFormat="1" applyFont="1" applyFill="1" applyBorder="1" applyAlignment="1" applyProtection="1">
      <alignment horizontal="center" vertical="center"/>
    </xf>
    <xf numFmtId="165" fontId="1" fillId="2" borderId="2" xfId="0" applyNumberFormat="1" applyFont="1" applyFill="1" applyBorder="1" applyAlignment="1" applyProtection="1">
      <alignment horizontal="right" vertical="center"/>
    </xf>
    <xf numFmtId="165" fontId="1" fillId="2" borderId="2" xfId="0" applyNumberFormat="1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 wrapText="1"/>
    </xf>
    <xf numFmtId="0" fontId="4" fillId="2" borderId="4" xfId="0" applyFont="1" applyFill="1" applyBorder="1" applyAlignment="1" applyProtection="1">
      <alignment vertical="center" wrapText="1"/>
    </xf>
    <xf numFmtId="0" fontId="1" fillId="2" borderId="0" xfId="0" applyFont="1" applyFill="1" applyBorder="1" applyAlignment="1" applyProtection="1">
      <alignment horizontal="left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left" vertical="center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left" vertical="center"/>
    </xf>
    <xf numFmtId="0" fontId="1" fillId="2" borderId="0" xfId="0" applyFont="1" applyFill="1" applyBorder="1" applyAlignment="1" applyProtection="1">
      <alignment horizontal="left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0" borderId="0" xfId="0" applyNumberFormat="1" applyFont="1" applyAlignment="1" applyProtection="1">
      <alignment vertical="center"/>
    </xf>
    <xf numFmtId="164" fontId="1" fillId="3" borderId="5" xfId="0" applyNumberFormat="1" applyFont="1" applyFill="1" applyBorder="1" applyAlignment="1" applyProtection="1">
      <alignment horizontal="center" vertical="center"/>
    </xf>
    <xf numFmtId="0" fontId="1" fillId="3" borderId="5" xfId="0" applyFont="1" applyFill="1" applyBorder="1" applyAlignment="1" applyProtection="1">
      <alignment vertical="center"/>
    </xf>
    <xf numFmtId="164" fontId="1" fillId="3" borderId="5" xfId="0" applyNumberFormat="1" applyFont="1" applyFill="1" applyBorder="1" applyAlignment="1" applyProtection="1">
      <alignment horizontal="right" vertical="top"/>
    </xf>
    <xf numFmtId="0" fontId="1" fillId="3" borderId="0" xfId="0" applyFont="1" applyFill="1" applyAlignment="1" applyProtection="1">
      <alignment vertical="center"/>
    </xf>
    <xf numFmtId="0" fontId="1" fillId="0" borderId="6" xfId="0" applyFont="1" applyBorder="1" applyAlignment="1" applyProtection="1">
      <alignment wrapText="1"/>
    </xf>
    <xf numFmtId="0" fontId="1" fillId="0" borderId="7" xfId="0" applyFont="1" applyBorder="1" applyAlignment="1" applyProtection="1">
      <alignment vertical="center" wrapText="1"/>
    </xf>
    <xf numFmtId="164" fontId="1" fillId="0" borderId="8" xfId="0" applyNumberFormat="1" applyFont="1" applyBorder="1" applyAlignment="1" applyProtection="1">
      <alignment horizontal="center" vertical="center"/>
    </xf>
    <xf numFmtId="164" fontId="1" fillId="0" borderId="9" xfId="0" applyNumberFormat="1" applyFont="1" applyBorder="1" applyAlignment="1" applyProtection="1">
      <alignment horizontal="center" vertical="center" wrapText="1"/>
    </xf>
    <xf numFmtId="0" fontId="1" fillId="0" borderId="2" xfId="0" applyFont="1" applyBorder="1" applyAlignment="1" applyProtection="1">
      <alignment horizontal="center" vertical="center" wrapText="1"/>
    </xf>
    <xf numFmtId="0" fontId="1" fillId="3" borderId="10" xfId="0" applyFont="1" applyFill="1" applyBorder="1" applyAlignment="1" applyProtection="1">
      <alignment vertical="center"/>
    </xf>
    <xf numFmtId="0" fontId="1" fillId="3" borderId="11" xfId="0" applyFont="1" applyFill="1" applyBorder="1" applyAlignment="1" applyProtection="1">
      <alignment vertical="center"/>
    </xf>
    <xf numFmtId="0" fontId="1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vertical="center"/>
    </xf>
    <xf numFmtId="0" fontId="1" fillId="2" borderId="0" xfId="0" applyFont="1" applyFill="1" applyBorder="1" applyAlignment="1" applyProtection="1">
      <alignment vertical="center"/>
    </xf>
    <xf numFmtId="0" fontId="1" fillId="2" borderId="2" xfId="0" applyFont="1" applyFill="1" applyBorder="1" applyAlignment="1" applyProtection="1">
      <alignment horizontal="left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left" vertical="center" wrapText="1"/>
    </xf>
    <xf numFmtId="0" fontId="1" fillId="2" borderId="2" xfId="0" applyFont="1" applyFill="1" applyBorder="1" applyAlignment="1" applyProtection="1">
      <alignment horizontal="left" vertical="center" wrapText="1"/>
    </xf>
    <xf numFmtId="0" fontId="1" fillId="2" borderId="0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left" vertical="center" wrapText="1"/>
    </xf>
    <xf numFmtId="164" fontId="1" fillId="2" borderId="5" xfId="0" applyNumberFormat="1" applyFont="1" applyFill="1" applyBorder="1" applyAlignment="1" applyProtection="1">
      <alignment horizontal="center" vertical="top" wrapText="1"/>
    </xf>
    <xf numFmtId="0" fontId="1" fillId="0" borderId="0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1" fillId="0" borderId="2" xfId="0" applyFont="1" applyBorder="1" applyAlignment="1" applyProtection="1">
      <alignment horizontal="left" vertical="center" wrapText="1"/>
    </xf>
    <xf numFmtId="0" fontId="1" fillId="0" borderId="4" xfId="0" applyFont="1" applyBorder="1" applyAlignment="1" applyProtection="1">
      <alignment horizontal="left" vertical="center" wrapText="1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left" vertical="center"/>
    </xf>
    <xf numFmtId="0" fontId="1" fillId="0" borderId="3" xfId="0" applyFont="1" applyBorder="1" applyAlignment="1" applyProtection="1">
      <alignment horizontal="left" vertical="center" wrapText="1"/>
    </xf>
    <xf numFmtId="164" fontId="1" fillId="0" borderId="5" xfId="0" applyNumberFormat="1" applyFont="1" applyBorder="1" applyAlignment="1" applyProtection="1">
      <alignment horizontal="center" vertical="top" wrapText="1"/>
    </xf>
    <xf numFmtId="0" fontId="1" fillId="0" borderId="0" xfId="0" applyFont="1" applyBorder="1" applyAlignment="1" applyProtection="1">
      <alignment horizontal="center" vertical="center"/>
    </xf>
    <xf numFmtId="164" fontId="1" fillId="0" borderId="5" xfId="0" applyNumberFormat="1" applyFont="1" applyBorder="1" applyAlignment="1" applyProtection="1">
      <alignment horizontal="left" vertical="top" wrapText="1"/>
    </xf>
    <xf numFmtId="0" fontId="5" fillId="0" borderId="17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18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1" fillId="0" borderId="18" xfId="0" applyFont="1" applyBorder="1" applyAlignment="1">
      <alignment horizontal="justify" vertical="center"/>
    </xf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0" xfId="0" applyFont="1" applyAlignment="1">
      <alignment horizontal="justify" vertical="center" wrapText="1"/>
    </xf>
    <xf numFmtId="0" fontId="1" fillId="0" borderId="0" xfId="0" applyFont="1" applyAlignment="1">
      <alignment vertical="center" wrapText="1"/>
    </xf>
    <xf numFmtId="164" fontId="1" fillId="0" borderId="18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right" vertical="center"/>
    </xf>
    <xf numFmtId="170" fontId="1" fillId="0" borderId="18" xfId="0" applyNumberFormat="1" applyFont="1" applyBorder="1" applyAlignment="1">
      <alignment horizontal="right" vertical="center"/>
    </xf>
    <xf numFmtId="0" fontId="4" fillId="0" borderId="16" xfId="0" applyFont="1" applyBorder="1" applyAlignment="1">
      <alignment vertical="center" wrapText="1"/>
    </xf>
    <xf numFmtId="0" fontId="1" fillId="4" borderId="22" xfId="0" applyFont="1" applyFill="1" applyBorder="1" applyAlignment="1">
      <alignment horizontal="center" vertical="center"/>
    </xf>
    <xf numFmtId="0" fontId="1" fillId="4" borderId="23" xfId="0" applyFont="1" applyFill="1" applyBorder="1" applyAlignment="1">
      <alignment vertical="center"/>
    </xf>
    <xf numFmtId="0" fontId="1" fillId="4" borderId="22" xfId="0" applyFont="1" applyFill="1" applyBorder="1" applyAlignment="1">
      <alignment vertical="center"/>
    </xf>
    <xf numFmtId="0" fontId="1" fillId="4" borderId="21" xfId="0" applyFont="1" applyFill="1" applyBorder="1" applyAlignment="1">
      <alignment vertical="center"/>
    </xf>
    <xf numFmtId="0" fontId="1" fillId="4" borderId="21" xfId="0" applyFont="1" applyFill="1" applyBorder="1" applyAlignment="1">
      <alignment horizontal="right" vertical="center"/>
    </xf>
    <xf numFmtId="0" fontId="1" fillId="4" borderId="17" xfId="0" applyFont="1" applyFill="1" applyBorder="1" applyAlignment="1">
      <alignment vertical="center"/>
    </xf>
    <xf numFmtId="0" fontId="1" fillId="4" borderId="0" xfId="0" applyFont="1" applyFill="1" applyAlignment="1">
      <alignment vertical="center"/>
    </xf>
    <xf numFmtId="0" fontId="1" fillId="4" borderId="18" xfId="0" applyFont="1" applyFill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1" fillId="0" borderId="21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0" borderId="12" xfId="0" applyFont="1" applyBorder="1" applyAlignment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justify" vertical="center" wrapText="1"/>
    </xf>
    <xf numFmtId="0" fontId="1" fillId="0" borderId="16" xfId="0" applyFont="1" applyBorder="1" applyAlignment="1">
      <alignment horizontal="justify" vertical="center" wrapText="1"/>
    </xf>
    <xf numFmtId="0" fontId="1" fillId="0" borderId="22" xfId="0" applyFont="1" applyBorder="1" applyAlignment="1">
      <alignment horizontal="justify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23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32"/>
  <sheetViews>
    <sheetView tabSelected="1" topLeftCell="A208" zoomScaleNormal="100" workbookViewId="0">
      <selection activeCell="F224" sqref="F224"/>
    </sheetView>
  </sheetViews>
  <sheetFormatPr defaultColWidth="11.5703125" defaultRowHeight="19.5" x14ac:dyDescent="0.2"/>
  <cols>
    <col min="1" max="1" width="12.7109375" style="1" customWidth="1"/>
    <col min="2" max="2" width="24.5703125" style="1" customWidth="1"/>
    <col min="3" max="3" width="21" style="1" customWidth="1"/>
    <col min="4" max="4" width="8.5703125" style="1" customWidth="1"/>
    <col min="5" max="5" width="6.42578125" style="1" customWidth="1"/>
    <col min="6" max="6" width="14.7109375" style="1" customWidth="1"/>
    <col min="7" max="7" width="23.7109375" style="1" customWidth="1"/>
    <col min="8" max="8" width="50.5703125" style="1" customWidth="1"/>
    <col min="9" max="16384" width="11.5703125" style="1"/>
  </cols>
  <sheetData>
    <row r="1" spans="1:8" s="18" customFormat="1" x14ac:dyDescent="0.2">
      <c r="A1" s="67" t="s">
        <v>0</v>
      </c>
      <c r="B1" s="67"/>
      <c r="C1" s="67"/>
      <c r="D1" s="67"/>
      <c r="E1" s="67"/>
      <c r="F1" s="67"/>
      <c r="G1" s="67"/>
      <c r="H1" s="67"/>
    </row>
    <row r="2" spans="1:8" s="18" customFormat="1" x14ac:dyDescent="0.2">
      <c r="A2" s="67" t="s">
        <v>1</v>
      </c>
      <c r="B2" s="67"/>
      <c r="C2" s="67"/>
      <c r="D2" s="67"/>
      <c r="E2" s="67"/>
      <c r="F2" s="67"/>
      <c r="G2" s="67"/>
      <c r="H2" s="67"/>
    </row>
    <row r="3" spans="1:8" s="18" customFormat="1" x14ac:dyDescent="0.2"/>
    <row r="4" spans="1:8" s="18" customFormat="1" x14ac:dyDescent="0.2">
      <c r="A4" s="18" t="s">
        <v>2</v>
      </c>
      <c r="B4" s="59" t="s">
        <v>3</v>
      </c>
      <c r="C4" s="59"/>
      <c r="D4" s="19"/>
      <c r="E4" s="19"/>
    </row>
    <row r="5" spans="1:8" s="18" customFormat="1" x14ac:dyDescent="0.2">
      <c r="B5" s="59" t="s">
        <v>4</v>
      </c>
      <c r="C5" s="59"/>
      <c r="D5" s="19"/>
      <c r="E5" s="19"/>
      <c r="H5" s="18" t="s">
        <v>5</v>
      </c>
    </row>
    <row r="6" spans="1:8" s="18" customFormat="1" x14ac:dyDescent="0.2">
      <c r="B6" s="59" t="s">
        <v>6</v>
      </c>
      <c r="C6" s="59"/>
      <c r="D6" s="19"/>
      <c r="E6" s="19"/>
      <c r="H6" s="18" t="s">
        <v>7</v>
      </c>
    </row>
    <row r="7" spans="1:8" s="18" customFormat="1" x14ac:dyDescent="0.2">
      <c r="H7" s="18" t="s">
        <v>8</v>
      </c>
    </row>
    <row r="8" spans="1:8" s="18" customFormat="1" x14ac:dyDescent="0.2">
      <c r="H8" s="18" t="s">
        <v>9</v>
      </c>
    </row>
    <row r="9" spans="1:8" s="18" customFormat="1" x14ac:dyDescent="0.2">
      <c r="H9" s="18" t="s">
        <v>10</v>
      </c>
    </row>
    <row r="10" spans="1:8" s="18" customFormat="1" x14ac:dyDescent="0.2"/>
    <row r="11" spans="1:8" s="18" customFormat="1" x14ac:dyDescent="0.2">
      <c r="A11" s="18" t="s">
        <v>11</v>
      </c>
      <c r="B11" s="60" t="s">
        <v>12</v>
      </c>
      <c r="C11" s="60"/>
      <c r="D11" s="20"/>
      <c r="E11" s="20"/>
    </row>
    <row r="12" spans="1:8" s="18" customFormat="1" x14ac:dyDescent="0.2">
      <c r="A12" s="18" t="s">
        <v>13</v>
      </c>
      <c r="B12" s="61" t="s">
        <v>14</v>
      </c>
      <c r="C12" s="61"/>
      <c r="D12" s="61"/>
      <c r="E12" s="61"/>
      <c r="F12" s="61"/>
    </row>
    <row r="13" spans="1:8" s="18" customFormat="1" x14ac:dyDescent="0.2"/>
    <row r="14" spans="1:8" s="18" customFormat="1" x14ac:dyDescent="0.2"/>
    <row r="15" spans="1:8" s="18" customFormat="1" ht="58.5" x14ac:dyDescent="0.2">
      <c r="A15" s="21" t="s">
        <v>15</v>
      </c>
      <c r="B15" s="21" t="s">
        <v>16</v>
      </c>
      <c r="C15" s="21" t="s">
        <v>17</v>
      </c>
      <c r="D15" s="21" t="s">
        <v>18</v>
      </c>
      <c r="E15" s="21" t="s">
        <v>19</v>
      </c>
      <c r="F15" s="21" t="s">
        <v>20</v>
      </c>
      <c r="G15" s="21" t="s">
        <v>21</v>
      </c>
      <c r="H15" s="21" t="s">
        <v>22</v>
      </c>
    </row>
    <row r="16" spans="1:8" s="18" customFormat="1" ht="24.95" customHeight="1" x14ac:dyDescent="0.35">
      <c r="A16" s="22" t="s">
        <v>23</v>
      </c>
      <c r="B16" s="23" t="s">
        <v>24</v>
      </c>
      <c r="C16" s="62" t="s">
        <v>25</v>
      </c>
      <c r="D16" s="22">
        <v>1</v>
      </c>
      <c r="E16" s="63" t="s">
        <v>26</v>
      </c>
      <c r="F16" s="24">
        <v>2261000</v>
      </c>
      <c r="G16" s="25">
        <v>339150</v>
      </c>
      <c r="H16" s="68" t="s">
        <v>27</v>
      </c>
    </row>
    <row r="17" spans="1:8" s="18" customFormat="1" ht="24.95" customHeight="1" x14ac:dyDescent="0.2">
      <c r="A17" s="26"/>
      <c r="B17" s="27" t="s">
        <v>28</v>
      </c>
      <c r="C17" s="62"/>
      <c r="D17" s="28" t="s">
        <v>29</v>
      </c>
      <c r="E17" s="63"/>
      <c r="F17" s="29"/>
      <c r="G17" s="69" t="s">
        <v>30</v>
      </c>
      <c r="H17" s="68"/>
    </row>
    <row r="18" spans="1:8" s="18" customFormat="1" ht="24.95" customHeight="1" x14ac:dyDescent="0.2">
      <c r="A18" s="26"/>
      <c r="B18" s="27"/>
      <c r="C18" s="38" t="s">
        <v>31</v>
      </c>
      <c r="D18" s="28"/>
      <c r="E18" s="63"/>
      <c r="F18" s="29"/>
      <c r="G18" s="69"/>
      <c r="H18" s="68"/>
    </row>
    <row r="19" spans="1:8" s="18" customFormat="1" ht="24.95" customHeight="1" x14ac:dyDescent="0.2">
      <c r="A19" s="30"/>
      <c r="B19" s="31"/>
      <c r="C19" s="31"/>
      <c r="D19" s="31"/>
      <c r="E19" s="63"/>
      <c r="F19" s="32"/>
      <c r="G19" s="69"/>
      <c r="H19" s="68"/>
    </row>
    <row r="20" spans="1:8" s="18" customFormat="1" x14ac:dyDescent="0.2"/>
    <row r="21" spans="1:8" s="18" customFormat="1" x14ac:dyDescent="0.2"/>
    <row r="22" spans="1:8" s="18" customFormat="1" x14ac:dyDescent="0.2"/>
    <row r="23" spans="1:8" s="18" customFormat="1" x14ac:dyDescent="0.2"/>
    <row r="24" spans="1:8" s="18" customFormat="1" x14ac:dyDescent="0.2"/>
    <row r="25" spans="1:8" s="18" customFormat="1" x14ac:dyDescent="0.2"/>
    <row r="26" spans="1:8" s="18" customFormat="1" ht="19.5" customHeight="1" x14ac:dyDescent="0.2">
      <c r="A26" s="64" t="s">
        <v>32</v>
      </c>
      <c r="B26" s="64"/>
      <c r="D26" s="65" t="s">
        <v>33</v>
      </c>
      <c r="E26" s="65"/>
      <c r="F26" s="65"/>
      <c r="G26" s="65"/>
      <c r="H26" s="33" t="s">
        <v>34</v>
      </c>
    </row>
    <row r="27" spans="1:8" s="18" customFormat="1" x14ac:dyDescent="0.2">
      <c r="A27" s="67" t="s">
        <v>0</v>
      </c>
      <c r="B27" s="67"/>
      <c r="C27" s="67"/>
      <c r="D27" s="67"/>
      <c r="E27" s="67"/>
      <c r="F27" s="67"/>
      <c r="G27" s="67"/>
      <c r="H27" s="67"/>
    </row>
    <row r="28" spans="1:8" s="18" customFormat="1" x14ac:dyDescent="0.2">
      <c r="A28" s="67" t="s">
        <v>1</v>
      </c>
      <c r="B28" s="67"/>
      <c r="C28" s="67"/>
      <c r="D28" s="67"/>
      <c r="E28" s="67"/>
      <c r="F28" s="67"/>
      <c r="G28" s="67"/>
      <c r="H28" s="67"/>
    </row>
    <row r="29" spans="1:8" s="18" customFormat="1" x14ac:dyDescent="0.2"/>
    <row r="30" spans="1:8" s="18" customFormat="1" x14ac:dyDescent="0.2">
      <c r="A30" s="18" t="s">
        <v>2</v>
      </c>
      <c r="B30" s="59" t="s">
        <v>35</v>
      </c>
      <c r="C30" s="59"/>
      <c r="D30" s="19"/>
      <c r="E30" s="19"/>
    </row>
    <row r="31" spans="1:8" s="18" customFormat="1" x14ac:dyDescent="0.2">
      <c r="B31" s="59" t="s">
        <v>36</v>
      </c>
      <c r="C31" s="59"/>
      <c r="D31" s="19"/>
      <c r="E31" s="19"/>
      <c r="H31" s="18" t="s">
        <v>37</v>
      </c>
    </row>
    <row r="32" spans="1:8" s="18" customFormat="1" x14ac:dyDescent="0.2">
      <c r="B32" s="59" t="s">
        <v>38</v>
      </c>
      <c r="C32" s="59"/>
      <c r="D32" s="19"/>
      <c r="E32" s="19"/>
      <c r="H32" s="18" t="s">
        <v>39</v>
      </c>
    </row>
    <row r="33" spans="1:8" s="18" customFormat="1" x14ac:dyDescent="0.2">
      <c r="H33" s="18" t="s">
        <v>8</v>
      </c>
    </row>
    <row r="34" spans="1:8" s="18" customFormat="1" x14ac:dyDescent="0.2">
      <c r="H34" s="18" t="s">
        <v>40</v>
      </c>
    </row>
    <row r="35" spans="1:8" s="18" customFormat="1" x14ac:dyDescent="0.2">
      <c r="H35" s="18" t="s">
        <v>10</v>
      </c>
    </row>
    <row r="36" spans="1:8" s="18" customFormat="1" x14ac:dyDescent="0.2"/>
    <row r="37" spans="1:8" s="18" customFormat="1" x14ac:dyDescent="0.2">
      <c r="A37" s="18" t="s">
        <v>11</v>
      </c>
      <c r="B37" s="60" t="s">
        <v>12</v>
      </c>
      <c r="C37" s="60"/>
      <c r="D37" s="20"/>
      <c r="E37" s="20"/>
    </row>
    <row r="38" spans="1:8" s="18" customFormat="1" x14ac:dyDescent="0.2">
      <c r="A38" s="18" t="s">
        <v>13</v>
      </c>
      <c r="B38" s="61" t="s">
        <v>41</v>
      </c>
      <c r="C38" s="61"/>
      <c r="D38" s="61"/>
      <c r="E38" s="61"/>
      <c r="F38" s="61"/>
    </row>
    <row r="39" spans="1:8" s="18" customFormat="1" x14ac:dyDescent="0.2"/>
    <row r="40" spans="1:8" s="18" customFormat="1" x14ac:dyDescent="0.2"/>
    <row r="41" spans="1:8" s="18" customFormat="1" ht="58.5" x14ac:dyDescent="0.2">
      <c r="A41" s="21" t="s">
        <v>15</v>
      </c>
      <c r="B41" s="21" t="s">
        <v>16</v>
      </c>
      <c r="C41" s="21" t="s">
        <v>17</v>
      </c>
      <c r="D41" s="21" t="s">
        <v>18</v>
      </c>
      <c r="E41" s="21" t="s">
        <v>19</v>
      </c>
      <c r="F41" s="21" t="s">
        <v>20</v>
      </c>
      <c r="G41" s="21" t="s">
        <v>21</v>
      </c>
      <c r="H41" s="21" t="s">
        <v>22</v>
      </c>
    </row>
    <row r="42" spans="1:8" s="18" customFormat="1" ht="24.95" customHeight="1" x14ac:dyDescent="0.35">
      <c r="A42" s="34" t="s">
        <v>23</v>
      </c>
      <c r="B42" s="23" t="s">
        <v>24</v>
      </c>
      <c r="C42" s="62" t="s">
        <v>25</v>
      </c>
      <c r="D42" s="34">
        <v>1</v>
      </c>
      <c r="E42" s="63" t="s">
        <v>26</v>
      </c>
      <c r="F42" s="35">
        <v>2390500</v>
      </c>
      <c r="G42" s="36">
        <v>358575</v>
      </c>
      <c r="H42" s="68" t="s">
        <v>27</v>
      </c>
    </row>
    <row r="43" spans="1:8" s="18" customFormat="1" ht="24.95" customHeight="1" x14ac:dyDescent="0.2">
      <c r="A43" s="26"/>
      <c r="B43" s="27" t="s">
        <v>28</v>
      </c>
      <c r="C43" s="62"/>
      <c r="D43" s="28" t="s">
        <v>29</v>
      </c>
      <c r="E43" s="63"/>
      <c r="F43" s="29"/>
      <c r="G43" s="69" t="s">
        <v>42</v>
      </c>
      <c r="H43" s="68"/>
    </row>
    <row r="44" spans="1:8" s="18" customFormat="1" ht="24.95" customHeight="1" x14ac:dyDescent="0.2">
      <c r="A44" s="26"/>
      <c r="B44" s="27"/>
      <c r="C44" s="38" t="s">
        <v>43</v>
      </c>
      <c r="D44" s="28"/>
      <c r="E44" s="63"/>
      <c r="F44" s="29"/>
      <c r="G44" s="69"/>
      <c r="H44" s="68"/>
    </row>
    <row r="45" spans="1:8" s="18" customFormat="1" ht="24.95" customHeight="1" x14ac:dyDescent="0.2">
      <c r="A45" s="30"/>
      <c r="B45" s="31"/>
      <c r="C45" s="31"/>
      <c r="D45" s="31"/>
      <c r="E45" s="63"/>
      <c r="F45" s="32"/>
      <c r="G45" s="69"/>
      <c r="H45" s="68"/>
    </row>
    <row r="46" spans="1:8" s="18" customFormat="1" x14ac:dyDescent="0.2"/>
    <row r="47" spans="1:8" s="18" customFormat="1" x14ac:dyDescent="0.2"/>
    <row r="48" spans="1:8" s="18" customFormat="1" x14ac:dyDescent="0.2"/>
    <row r="49" spans="1:8" s="18" customFormat="1" x14ac:dyDescent="0.2"/>
    <row r="50" spans="1:8" s="18" customFormat="1" x14ac:dyDescent="0.2"/>
    <row r="51" spans="1:8" s="18" customFormat="1" x14ac:dyDescent="0.2"/>
    <row r="52" spans="1:8" s="18" customFormat="1" x14ac:dyDescent="0.2"/>
    <row r="53" spans="1:8" s="18" customFormat="1" ht="17.45" customHeight="1" x14ac:dyDescent="0.2">
      <c r="A53" s="64" t="s">
        <v>32</v>
      </c>
      <c r="B53" s="64"/>
      <c r="D53" s="65" t="s">
        <v>33</v>
      </c>
      <c r="E53" s="65"/>
      <c r="F53" s="65"/>
      <c r="G53" s="65"/>
      <c r="H53" s="33" t="s">
        <v>34</v>
      </c>
    </row>
    <row r="54" spans="1:8" s="18" customFormat="1" x14ac:dyDescent="0.2">
      <c r="A54" s="67" t="s">
        <v>0</v>
      </c>
      <c r="B54" s="67"/>
      <c r="C54" s="67"/>
      <c r="D54" s="67"/>
      <c r="E54" s="67"/>
      <c r="F54" s="67"/>
      <c r="G54" s="67"/>
      <c r="H54" s="67"/>
    </row>
    <row r="55" spans="1:8" s="18" customFormat="1" x14ac:dyDescent="0.2">
      <c r="A55" s="67" t="s">
        <v>1</v>
      </c>
      <c r="B55" s="67"/>
      <c r="C55" s="67"/>
      <c r="D55" s="67"/>
      <c r="E55" s="67"/>
      <c r="F55" s="67"/>
      <c r="G55" s="67"/>
      <c r="H55" s="67"/>
    </row>
    <row r="56" spans="1:8" s="18" customFormat="1" x14ac:dyDescent="0.2"/>
    <row r="57" spans="1:8" s="18" customFormat="1" x14ac:dyDescent="0.2">
      <c r="A57" s="18" t="s">
        <v>2</v>
      </c>
      <c r="B57" s="59" t="s">
        <v>51</v>
      </c>
      <c r="C57" s="59"/>
      <c r="D57" s="39"/>
      <c r="E57" s="39"/>
    </row>
    <row r="58" spans="1:8" s="18" customFormat="1" x14ac:dyDescent="0.2">
      <c r="B58" s="59" t="s">
        <v>58</v>
      </c>
      <c r="C58" s="59"/>
      <c r="D58" s="39"/>
      <c r="E58" s="39"/>
      <c r="H58" s="18" t="s">
        <v>84</v>
      </c>
    </row>
    <row r="59" spans="1:8" s="18" customFormat="1" x14ac:dyDescent="0.2">
      <c r="B59" s="59" t="s">
        <v>52</v>
      </c>
      <c r="C59" s="59"/>
      <c r="D59" s="39"/>
      <c r="E59" s="39"/>
      <c r="H59" s="18" t="s">
        <v>53</v>
      </c>
    </row>
    <row r="60" spans="1:8" s="18" customFormat="1" x14ac:dyDescent="0.2">
      <c r="H60" s="18" t="s">
        <v>8</v>
      </c>
    </row>
    <row r="61" spans="1:8" s="18" customFormat="1" x14ac:dyDescent="0.2">
      <c r="H61" s="18" t="s">
        <v>54</v>
      </c>
    </row>
    <row r="62" spans="1:8" s="18" customFormat="1" x14ac:dyDescent="0.2">
      <c r="H62" s="18" t="s">
        <v>55</v>
      </c>
    </row>
    <row r="63" spans="1:8" s="18" customFormat="1" x14ac:dyDescent="0.2"/>
    <row r="64" spans="1:8" s="18" customFormat="1" x14ac:dyDescent="0.2">
      <c r="A64" s="18" t="s">
        <v>11</v>
      </c>
      <c r="B64" s="60" t="s">
        <v>12</v>
      </c>
      <c r="C64" s="60"/>
      <c r="D64" s="20"/>
      <c r="E64" s="20"/>
    </row>
    <row r="65" spans="1:8" s="18" customFormat="1" x14ac:dyDescent="0.2">
      <c r="A65" s="18" t="s">
        <v>13</v>
      </c>
      <c r="B65" s="61" t="s">
        <v>56</v>
      </c>
      <c r="C65" s="61"/>
      <c r="D65" s="61"/>
      <c r="E65" s="61"/>
      <c r="F65" s="61"/>
    </row>
    <row r="66" spans="1:8" s="18" customFormat="1" x14ac:dyDescent="0.2"/>
    <row r="67" spans="1:8" s="18" customFormat="1" x14ac:dyDescent="0.2"/>
    <row r="68" spans="1:8" s="18" customFormat="1" ht="58.5" x14ac:dyDescent="0.2">
      <c r="A68" s="40" t="s">
        <v>15</v>
      </c>
      <c r="B68" s="40" t="s">
        <v>16</v>
      </c>
      <c r="C68" s="40" t="s">
        <v>17</v>
      </c>
      <c r="D68" s="40" t="s">
        <v>18</v>
      </c>
      <c r="E68" s="40" t="s">
        <v>19</v>
      </c>
      <c r="F68" s="40" t="s">
        <v>20</v>
      </c>
      <c r="G68" s="40" t="s">
        <v>21</v>
      </c>
      <c r="H68" s="40" t="s">
        <v>22</v>
      </c>
    </row>
    <row r="69" spans="1:8" s="18" customFormat="1" ht="24.95" customHeight="1" x14ac:dyDescent="0.35">
      <c r="A69" s="34" t="s">
        <v>23</v>
      </c>
      <c r="B69" s="23" t="s">
        <v>24</v>
      </c>
      <c r="C69" s="62" t="s">
        <v>25</v>
      </c>
      <c r="D69" s="34">
        <v>1</v>
      </c>
      <c r="E69" s="63" t="s">
        <v>26</v>
      </c>
      <c r="F69" s="35">
        <v>2105000</v>
      </c>
      <c r="G69" s="36">
        <v>315750</v>
      </c>
      <c r="H69" s="68" t="s">
        <v>27</v>
      </c>
    </row>
    <row r="70" spans="1:8" s="18" customFormat="1" ht="24.95" customHeight="1" x14ac:dyDescent="0.2">
      <c r="A70" s="26"/>
      <c r="B70" s="27" t="s">
        <v>28</v>
      </c>
      <c r="C70" s="62"/>
      <c r="D70" s="28" t="s">
        <v>29</v>
      </c>
      <c r="E70" s="63"/>
      <c r="F70" s="29"/>
      <c r="G70" s="69" t="s">
        <v>71</v>
      </c>
      <c r="H70" s="68"/>
    </row>
    <row r="71" spans="1:8" s="18" customFormat="1" ht="24.95" customHeight="1" x14ac:dyDescent="0.2">
      <c r="A71" s="26"/>
      <c r="B71" s="27"/>
      <c r="C71" s="38" t="s">
        <v>57</v>
      </c>
      <c r="D71" s="28"/>
      <c r="E71" s="63"/>
      <c r="F71" s="29"/>
      <c r="G71" s="69"/>
      <c r="H71" s="68"/>
    </row>
    <row r="72" spans="1:8" s="18" customFormat="1" ht="24.95" customHeight="1" x14ac:dyDescent="0.2">
      <c r="A72" s="30"/>
      <c r="B72" s="31"/>
      <c r="C72" s="31"/>
      <c r="D72" s="31"/>
      <c r="E72" s="63"/>
      <c r="F72" s="32"/>
      <c r="G72" s="69"/>
      <c r="H72" s="68"/>
    </row>
    <row r="73" spans="1:8" s="18" customFormat="1" x14ac:dyDescent="0.2"/>
    <row r="74" spans="1:8" s="18" customFormat="1" x14ac:dyDescent="0.2"/>
    <row r="75" spans="1:8" s="18" customFormat="1" x14ac:dyDescent="0.2"/>
    <row r="76" spans="1:8" s="18" customFormat="1" x14ac:dyDescent="0.2"/>
    <row r="77" spans="1:8" s="18" customFormat="1" x14ac:dyDescent="0.2"/>
    <row r="78" spans="1:8" s="18" customFormat="1" x14ac:dyDescent="0.2"/>
    <row r="79" spans="1:8" s="18" customFormat="1" x14ac:dyDescent="0.2">
      <c r="A79" s="64" t="s">
        <v>32</v>
      </c>
      <c r="B79" s="64"/>
      <c r="D79" s="65" t="s">
        <v>33</v>
      </c>
      <c r="E79" s="65"/>
      <c r="F79" s="65"/>
      <c r="G79" s="65"/>
      <c r="H79" s="33" t="s">
        <v>88</v>
      </c>
    </row>
    <row r="80" spans="1:8" s="18" customFormat="1" x14ac:dyDescent="0.2">
      <c r="A80" s="67" t="s">
        <v>0</v>
      </c>
      <c r="B80" s="67"/>
      <c r="C80" s="67"/>
      <c r="D80" s="67"/>
      <c r="E80" s="67"/>
      <c r="F80" s="67"/>
      <c r="G80" s="67"/>
      <c r="H80" s="67"/>
    </row>
    <row r="81" spans="1:8" s="18" customFormat="1" x14ac:dyDescent="0.2">
      <c r="A81" s="67" t="s">
        <v>1</v>
      </c>
      <c r="B81" s="67"/>
      <c r="C81" s="67"/>
      <c r="D81" s="67"/>
      <c r="E81" s="67"/>
      <c r="F81" s="67"/>
      <c r="G81" s="67"/>
      <c r="H81" s="67"/>
    </row>
    <row r="82" spans="1:8" s="18" customFormat="1" x14ac:dyDescent="0.2"/>
    <row r="83" spans="1:8" s="18" customFormat="1" x14ac:dyDescent="0.2">
      <c r="A83" s="18" t="s">
        <v>2</v>
      </c>
      <c r="B83" s="59" t="s">
        <v>59</v>
      </c>
      <c r="C83" s="59"/>
      <c r="D83" s="39"/>
      <c r="E83" s="39"/>
    </row>
    <row r="84" spans="1:8" s="18" customFormat="1" x14ac:dyDescent="0.2">
      <c r="B84" s="59" t="s">
        <v>60</v>
      </c>
      <c r="C84" s="59"/>
      <c r="D84" s="39"/>
      <c r="E84" s="39"/>
      <c r="H84" s="18" t="s">
        <v>85</v>
      </c>
    </row>
    <row r="85" spans="1:8" s="18" customFormat="1" x14ac:dyDescent="0.2">
      <c r="B85" s="59" t="s">
        <v>61</v>
      </c>
      <c r="C85" s="59"/>
      <c r="D85" s="39"/>
      <c r="E85" s="39"/>
      <c r="H85" s="18" t="s">
        <v>83</v>
      </c>
    </row>
    <row r="86" spans="1:8" s="18" customFormat="1" x14ac:dyDescent="0.2">
      <c r="H86" s="18" t="s">
        <v>8</v>
      </c>
    </row>
    <row r="87" spans="1:8" s="18" customFormat="1" x14ac:dyDescent="0.2">
      <c r="H87" s="18" t="s">
        <v>62</v>
      </c>
    </row>
    <row r="88" spans="1:8" s="18" customFormat="1" x14ac:dyDescent="0.2">
      <c r="H88" s="18" t="s">
        <v>63</v>
      </c>
    </row>
    <row r="89" spans="1:8" s="18" customFormat="1" x14ac:dyDescent="0.2"/>
    <row r="90" spans="1:8" s="18" customFormat="1" x14ac:dyDescent="0.2">
      <c r="A90" s="18" t="s">
        <v>11</v>
      </c>
      <c r="B90" s="60" t="s">
        <v>12</v>
      </c>
      <c r="C90" s="60"/>
      <c r="D90" s="20"/>
      <c r="E90" s="20"/>
    </row>
    <row r="91" spans="1:8" s="18" customFormat="1" x14ac:dyDescent="0.2">
      <c r="A91" s="18" t="s">
        <v>13</v>
      </c>
      <c r="B91" s="61" t="s">
        <v>68</v>
      </c>
      <c r="C91" s="61"/>
      <c r="D91" s="61"/>
      <c r="E91" s="61"/>
      <c r="F91" s="61"/>
    </row>
    <row r="92" spans="1:8" s="18" customFormat="1" x14ac:dyDescent="0.2"/>
    <row r="93" spans="1:8" s="18" customFormat="1" x14ac:dyDescent="0.2"/>
    <row r="94" spans="1:8" s="18" customFormat="1" ht="58.5" x14ac:dyDescent="0.2">
      <c r="A94" s="40" t="s">
        <v>15</v>
      </c>
      <c r="B94" s="40" t="s">
        <v>16</v>
      </c>
      <c r="C94" s="40" t="s">
        <v>17</v>
      </c>
      <c r="D94" s="40" t="s">
        <v>18</v>
      </c>
      <c r="E94" s="40" t="s">
        <v>19</v>
      </c>
      <c r="F94" s="40" t="s">
        <v>20</v>
      </c>
      <c r="G94" s="40" t="s">
        <v>21</v>
      </c>
      <c r="H94" s="40" t="s">
        <v>22</v>
      </c>
    </row>
    <row r="95" spans="1:8" s="18" customFormat="1" ht="24.95" customHeight="1" x14ac:dyDescent="0.35">
      <c r="A95" s="34" t="s">
        <v>23</v>
      </c>
      <c r="B95" s="23" t="s">
        <v>24</v>
      </c>
      <c r="C95" s="62" t="s">
        <v>25</v>
      </c>
      <c r="D95" s="34">
        <v>1</v>
      </c>
      <c r="E95" s="63" t="s">
        <v>26</v>
      </c>
      <c r="F95" s="35">
        <v>575000</v>
      </c>
      <c r="G95" s="36">
        <v>86250</v>
      </c>
      <c r="H95" s="68" t="s">
        <v>27</v>
      </c>
    </row>
    <row r="96" spans="1:8" s="18" customFormat="1" ht="24.95" customHeight="1" x14ac:dyDescent="0.2">
      <c r="A96" s="26"/>
      <c r="B96" s="27" t="s">
        <v>28</v>
      </c>
      <c r="C96" s="62"/>
      <c r="D96" s="28" t="s">
        <v>29</v>
      </c>
      <c r="E96" s="63"/>
      <c r="F96" s="29"/>
      <c r="G96" s="69" t="s">
        <v>72</v>
      </c>
      <c r="H96" s="68"/>
    </row>
    <row r="97" spans="1:8" s="18" customFormat="1" ht="24.95" customHeight="1" x14ac:dyDescent="0.2">
      <c r="A97" s="26"/>
      <c r="B97" s="27"/>
      <c r="C97" s="38" t="s">
        <v>64</v>
      </c>
      <c r="D97" s="28"/>
      <c r="E97" s="63"/>
      <c r="F97" s="29"/>
      <c r="G97" s="69"/>
      <c r="H97" s="68"/>
    </row>
    <row r="98" spans="1:8" s="18" customFormat="1" ht="24.95" customHeight="1" x14ac:dyDescent="0.2">
      <c r="A98" s="30"/>
      <c r="B98" s="31"/>
      <c r="C98" s="31"/>
      <c r="D98" s="31"/>
      <c r="E98" s="63"/>
      <c r="F98" s="32"/>
      <c r="G98" s="69"/>
      <c r="H98" s="68"/>
    </row>
    <row r="99" spans="1:8" s="18" customFormat="1" x14ac:dyDescent="0.2"/>
    <row r="100" spans="1:8" s="18" customFormat="1" x14ac:dyDescent="0.2"/>
    <row r="101" spans="1:8" s="18" customFormat="1" x14ac:dyDescent="0.2"/>
    <row r="102" spans="1:8" s="18" customFormat="1" x14ac:dyDescent="0.2"/>
    <row r="103" spans="1:8" s="18" customFormat="1" x14ac:dyDescent="0.2"/>
    <row r="104" spans="1:8" s="18" customFormat="1" x14ac:dyDescent="0.2"/>
    <row r="105" spans="1:8" s="18" customFormat="1" x14ac:dyDescent="0.2">
      <c r="A105" s="64" t="s">
        <v>32</v>
      </c>
      <c r="B105" s="64"/>
      <c r="D105" s="65" t="s">
        <v>33</v>
      </c>
      <c r="E105" s="65"/>
      <c r="F105" s="65"/>
      <c r="G105" s="65"/>
      <c r="H105" s="33" t="s">
        <v>88</v>
      </c>
    </row>
    <row r="106" spans="1:8" s="18" customFormat="1" x14ac:dyDescent="0.2">
      <c r="A106" s="67" t="s">
        <v>0</v>
      </c>
      <c r="B106" s="67"/>
      <c r="C106" s="67"/>
      <c r="D106" s="67"/>
      <c r="E106" s="67"/>
      <c r="F106" s="67"/>
      <c r="G106" s="67"/>
      <c r="H106" s="67"/>
    </row>
    <row r="107" spans="1:8" s="18" customFormat="1" x14ac:dyDescent="0.2">
      <c r="A107" s="67" t="s">
        <v>1</v>
      </c>
      <c r="B107" s="67"/>
      <c r="C107" s="67"/>
      <c r="D107" s="67"/>
      <c r="E107" s="67"/>
      <c r="F107" s="67"/>
      <c r="G107" s="67"/>
      <c r="H107" s="67"/>
    </row>
    <row r="108" spans="1:8" s="18" customFormat="1" x14ac:dyDescent="0.2"/>
    <row r="109" spans="1:8" s="18" customFormat="1" x14ac:dyDescent="0.2">
      <c r="A109" s="18" t="s">
        <v>2</v>
      </c>
      <c r="B109" s="59" t="s">
        <v>65</v>
      </c>
      <c r="C109" s="59"/>
      <c r="D109" s="39"/>
      <c r="E109" s="39"/>
    </row>
    <row r="110" spans="1:8" s="18" customFormat="1" x14ac:dyDescent="0.2">
      <c r="B110" s="59" t="s">
        <v>80</v>
      </c>
      <c r="C110" s="59"/>
      <c r="D110" s="39"/>
      <c r="E110" s="39"/>
      <c r="H110" s="18" t="s">
        <v>86</v>
      </c>
    </row>
    <row r="111" spans="1:8" s="18" customFormat="1" x14ac:dyDescent="0.2">
      <c r="B111" s="59" t="s">
        <v>61</v>
      </c>
      <c r="C111" s="59"/>
      <c r="D111" s="39"/>
      <c r="E111" s="39"/>
      <c r="H111" s="18" t="s">
        <v>66</v>
      </c>
    </row>
    <row r="112" spans="1:8" s="18" customFormat="1" x14ac:dyDescent="0.2">
      <c r="H112" s="18" t="s">
        <v>8</v>
      </c>
    </row>
    <row r="113" spans="1:8" s="18" customFormat="1" x14ac:dyDescent="0.2">
      <c r="H113" s="18" t="s">
        <v>67</v>
      </c>
    </row>
    <row r="114" spans="1:8" s="18" customFormat="1" x14ac:dyDescent="0.2">
      <c r="H114" s="18" t="s">
        <v>63</v>
      </c>
    </row>
    <row r="115" spans="1:8" s="18" customFormat="1" x14ac:dyDescent="0.2"/>
    <row r="116" spans="1:8" s="18" customFormat="1" x14ac:dyDescent="0.2">
      <c r="A116" s="18" t="s">
        <v>11</v>
      </c>
      <c r="B116" s="60" t="s">
        <v>12</v>
      </c>
      <c r="C116" s="60"/>
      <c r="D116" s="20"/>
      <c r="E116" s="20"/>
    </row>
    <row r="117" spans="1:8" s="18" customFormat="1" x14ac:dyDescent="0.2">
      <c r="A117" s="18" t="s">
        <v>13</v>
      </c>
      <c r="B117" s="61" t="s">
        <v>69</v>
      </c>
      <c r="C117" s="61"/>
      <c r="D117" s="61"/>
      <c r="E117" s="61"/>
      <c r="F117" s="61"/>
    </row>
    <row r="118" spans="1:8" s="18" customFormat="1" x14ac:dyDescent="0.2"/>
    <row r="119" spans="1:8" s="18" customFormat="1" x14ac:dyDescent="0.2"/>
    <row r="120" spans="1:8" s="18" customFormat="1" ht="58.5" x14ac:dyDescent="0.2">
      <c r="A120" s="40" t="s">
        <v>15</v>
      </c>
      <c r="B120" s="40" t="s">
        <v>16</v>
      </c>
      <c r="C120" s="40" t="s">
        <v>17</v>
      </c>
      <c r="D120" s="40" t="s">
        <v>18</v>
      </c>
      <c r="E120" s="40" t="s">
        <v>19</v>
      </c>
      <c r="F120" s="40" t="s">
        <v>20</v>
      </c>
      <c r="G120" s="40" t="s">
        <v>21</v>
      </c>
      <c r="H120" s="40" t="s">
        <v>22</v>
      </c>
    </row>
    <row r="121" spans="1:8" s="18" customFormat="1" ht="24.95" customHeight="1" x14ac:dyDescent="0.35">
      <c r="A121" s="34" t="s">
        <v>23</v>
      </c>
      <c r="B121" s="23" t="s">
        <v>24</v>
      </c>
      <c r="C121" s="62" t="s">
        <v>25</v>
      </c>
      <c r="D121" s="34">
        <v>1</v>
      </c>
      <c r="E121" s="63" t="s">
        <v>26</v>
      </c>
      <c r="F121" s="35">
        <v>575000</v>
      </c>
      <c r="G121" s="36">
        <v>86250</v>
      </c>
      <c r="H121" s="68" t="s">
        <v>27</v>
      </c>
    </row>
    <row r="122" spans="1:8" s="18" customFormat="1" ht="24.95" customHeight="1" x14ac:dyDescent="0.2">
      <c r="A122" s="26"/>
      <c r="B122" s="27" t="s">
        <v>28</v>
      </c>
      <c r="C122" s="62"/>
      <c r="D122" s="28" t="s">
        <v>29</v>
      </c>
      <c r="E122" s="63"/>
      <c r="F122" s="29"/>
      <c r="G122" s="69" t="s">
        <v>72</v>
      </c>
      <c r="H122" s="68"/>
    </row>
    <row r="123" spans="1:8" s="18" customFormat="1" ht="24.95" customHeight="1" x14ac:dyDescent="0.2">
      <c r="A123" s="26"/>
      <c r="B123" s="27"/>
      <c r="C123" s="38" t="s">
        <v>70</v>
      </c>
      <c r="D123" s="28"/>
      <c r="E123" s="63"/>
      <c r="F123" s="29"/>
      <c r="G123" s="69"/>
      <c r="H123" s="68"/>
    </row>
    <row r="124" spans="1:8" s="18" customFormat="1" ht="24.95" customHeight="1" x14ac:dyDescent="0.2">
      <c r="A124" s="30"/>
      <c r="B124" s="31"/>
      <c r="C124" s="31"/>
      <c r="D124" s="31"/>
      <c r="E124" s="63"/>
      <c r="F124" s="32"/>
      <c r="G124" s="69"/>
      <c r="H124" s="68"/>
    </row>
    <row r="125" spans="1:8" s="18" customFormat="1" x14ac:dyDescent="0.2"/>
    <row r="126" spans="1:8" s="18" customFormat="1" x14ac:dyDescent="0.2"/>
    <row r="127" spans="1:8" s="18" customFormat="1" x14ac:dyDescent="0.2"/>
    <row r="128" spans="1:8" s="18" customFormat="1" x14ac:dyDescent="0.2"/>
    <row r="129" spans="1:8" s="18" customFormat="1" x14ac:dyDescent="0.2"/>
    <row r="130" spans="1:8" s="18" customFormat="1" x14ac:dyDescent="0.2"/>
    <row r="131" spans="1:8" s="18" customFormat="1" x14ac:dyDescent="0.2">
      <c r="A131" s="64" t="s">
        <v>32</v>
      </c>
      <c r="B131" s="64"/>
      <c r="D131" s="65" t="s">
        <v>33</v>
      </c>
      <c r="E131" s="65"/>
      <c r="F131" s="65"/>
      <c r="G131" s="65"/>
      <c r="H131" s="33" t="s">
        <v>88</v>
      </c>
    </row>
    <row r="132" spans="1:8" s="18" customFormat="1" x14ac:dyDescent="0.2">
      <c r="A132" s="67" t="s">
        <v>0</v>
      </c>
      <c r="B132" s="67"/>
      <c r="C132" s="67"/>
      <c r="D132" s="67"/>
      <c r="E132" s="67"/>
      <c r="F132" s="67"/>
      <c r="G132" s="67"/>
      <c r="H132" s="67"/>
    </row>
    <row r="133" spans="1:8" s="18" customFormat="1" x14ac:dyDescent="0.2">
      <c r="A133" s="67" t="s">
        <v>1</v>
      </c>
      <c r="B133" s="67"/>
      <c r="C133" s="67"/>
      <c r="D133" s="67"/>
      <c r="E133" s="67"/>
      <c r="F133" s="67"/>
      <c r="G133" s="67"/>
      <c r="H133" s="67"/>
    </row>
    <row r="134" spans="1:8" s="18" customFormat="1" x14ac:dyDescent="0.2"/>
    <row r="135" spans="1:8" s="18" customFormat="1" x14ac:dyDescent="0.2">
      <c r="A135" s="18" t="s">
        <v>2</v>
      </c>
      <c r="B135" s="59" t="s">
        <v>73</v>
      </c>
      <c r="C135" s="59"/>
      <c r="D135" s="45"/>
      <c r="E135" s="45"/>
    </row>
    <row r="136" spans="1:8" s="18" customFormat="1" x14ac:dyDescent="0.2">
      <c r="B136" s="59" t="s">
        <v>81</v>
      </c>
      <c r="C136" s="59"/>
      <c r="D136" s="45"/>
      <c r="E136" s="45"/>
      <c r="H136" s="18" t="s">
        <v>87</v>
      </c>
    </row>
    <row r="137" spans="1:8" s="18" customFormat="1" x14ac:dyDescent="0.2">
      <c r="B137" s="59" t="s">
        <v>74</v>
      </c>
      <c r="C137" s="59"/>
      <c r="D137" s="45"/>
      <c r="E137" s="45"/>
      <c r="H137" s="18" t="s">
        <v>75</v>
      </c>
    </row>
    <row r="138" spans="1:8" s="18" customFormat="1" x14ac:dyDescent="0.2">
      <c r="H138" s="18" t="s">
        <v>8</v>
      </c>
    </row>
    <row r="139" spans="1:8" s="18" customFormat="1" x14ac:dyDescent="0.2">
      <c r="H139" s="18" t="s">
        <v>76</v>
      </c>
    </row>
    <row r="140" spans="1:8" s="18" customFormat="1" x14ac:dyDescent="0.2">
      <c r="H140" s="18" t="s">
        <v>77</v>
      </c>
    </row>
    <row r="141" spans="1:8" s="18" customFormat="1" x14ac:dyDescent="0.2"/>
    <row r="142" spans="1:8" s="18" customFormat="1" x14ac:dyDescent="0.2">
      <c r="A142" s="18" t="s">
        <v>11</v>
      </c>
      <c r="B142" s="60" t="s">
        <v>12</v>
      </c>
      <c r="C142" s="60"/>
      <c r="D142" s="20"/>
      <c r="E142" s="20"/>
    </row>
    <row r="143" spans="1:8" s="18" customFormat="1" x14ac:dyDescent="0.2">
      <c r="A143" s="18" t="s">
        <v>13</v>
      </c>
      <c r="B143" s="61" t="s">
        <v>82</v>
      </c>
      <c r="C143" s="61"/>
      <c r="D143" s="61"/>
      <c r="E143" s="61"/>
      <c r="F143" s="61"/>
    </row>
    <row r="144" spans="1:8" s="18" customFormat="1" x14ac:dyDescent="0.2"/>
    <row r="145" spans="1:8" s="18" customFormat="1" x14ac:dyDescent="0.2"/>
    <row r="146" spans="1:8" s="18" customFormat="1" ht="58.5" x14ac:dyDescent="0.2">
      <c r="A146" s="46" t="s">
        <v>15</v>
      </c>
      <c r="B146" s="46" t="s">
        <v>16</v>
      </c>
      <c r="C146" s="46" t="s">
        <v>17</v>
      </c>
      <c r="D146" s="46" t="s">
        <v>18</v>
      </c>
      <c r="E146" s="46" t="s">
        <v>19</v>
      </c>
      <c r="F146" s="46" t="s">
        <v>20</v>
      </c>
      <c r="G146" s="46" t="s">
        <v>21</v>
      </c>
      <c r="H146" s="46" t="s">
        <v>22</v>
      </c>
    </row>
    <row r="147" spans="1:8" s="18" customFormat="1" ht="24.95" customHeight="1" x14ac:dyDescent="0.35">
      <c r="A147" s="34" t="s">
        <v>23</v>
      </c>
      <c r="B147" s="23" t="s">
        <v>24</v>
      </c>
      <c r="C147" s="66" t="s">
        <v>25</v>
      </c>
      <c r="D147" s="34">
        <v>1</v>
      </c>
      <c r="E147" s="63" t="s">
        <v>26</v>
      </c>
      <c r="F147" s="35">
        <v>1886500</v>
      </c>
      <c r="G147" s="36">
        <v>282975</v>
      </c>
      <c r="H147" s="68" t="s">
        <v>27</v>
      </c>
    </row>
    <row r="148" spans="1:8" s="18" customFormat="1" ht="24.95" customHeight="1" x14ac:dyDescent="0.2">
      <c r="A148" s="26"/>
      <c r="B148" s="27" t="s">
        <v>28</v>
      </c>
      <c r="C148" s="66"/>
      <c r="D148" s="28" t="s">
        <v>29</v>
      </c>
      <c r="E148" s="63"/>
      <c r="F148" s="29"/>
      <c r="G148" s="69" t="s">
        <v>79</v>
      </c>
      <c r="H148" s="68"/>
    </row>
    <row r="149" spans="1:8" s="18" customFormat="1" ht="24.95" customHeight="1" x14ac:dyDescent="0.2">
      <c r="A149" s="26"/>
      <c r="B149" s="27"/>
      <c r="C149" s="38" t="s">
        <v>78</v>
      </c>
      <c r="D149" s="28"/>
      <c r="E149" s="63"/>
      <c r="F149" s="29"/>
      <c r="G149" s="69"/>
      <c r="H149" s="68"/>
    </row>
    <row r="150" spans="1:8" s="18" customFormat="1" ht="24.95" customHeight="1" x14ac:dyDescent="0.2">
      <c r="A150" s="30"/>
      <c r="B150" s="31"/>
      <c r="C150" s="31"/>
      <c r="D150" s="31"/>
      <c r="E150" s="63"/>
      <c r="F150" s="32"/>
      <c r="G150" s="69"/>
      <c r="H150" s="68"/>
    </row>
    <row r="151" spans="1:8" s="18" customFormat="1" x14ac:dyDescent="0.2"/>
    <row r="152" spans="1:8" s="18" customFormat="1" x14ac:dyDescent="0.2"/>
    <row r="153" spans="1:8" s="18" customFormat="1" x14ac:dyDescent="0.2"/>
    <row r="154" spans="1:8" s="18" customFormat="1" x14ac:dyDescent="0.2"/>
    <row r="155" spans="1:8" s="18" customFormat="1" x14ac:dyDescent="0.2"/>
    <row r="156" spans="1:8" s="18" customFormat="1" x14ac:dyDescent="0.2"/>
    <row r="157" spans="1:8" s="18" customFormat="1" x14ac:dyDescent="0.2">
      <c r="A157" s="64" t="s">
        <v>32</v>
      </c>
      <c r="B157" s="64"/>
      <c r="D157" s="65" t="s">
        <v>33</v>
      </c>
      <c r="E157" s="65"/>
      <c r="F157" s="65"/>
      <c r="G157" s="65"/>
      <c r="H157" s="33" t="s">
        <v>88</v>
      </c>
    </row>
    <row r="158" spans="1:8" x14ac:dyDescent="0.2">
      <c r="A158" s="80" t="s">
        <v>0</v>
      </c>
      <c r="B158" s="80"/>
      <c r="C158" s="80"/>
      <c r="D158" s="80"/>
      <c r="E158" s="80"/>
      <c r="F158" s="80"/>
      <c r="G158" s="80"/>
      <c r="H158" s="80"/>
    </row>
    <row r="159" spans="1:8" x14ac:dyDescent="0.2">
      <c r="A159" s="80" t="s">
        <v>1</v>
      </c>
      <c r="B159" s="80"/>
      <c r="C159" s="80"/>
      <c r="D159" s="80"/>
      <c r="E159" s="80"/>
      <c r="F159" s="80"/>
      <c r="G159" s="80"/>
      <c r="H159" s="80"/>
    </row>
    <row r="161" spans="1:8" x14ac:dyDescent="0.2">
      <c r="A161" s="1" t="s">
        <v>2</v>
      </c>
      <c r="B161" s="77" t="s">
        <v>89</v>
      </c>
      <c r="C161" s="77"/>
      <c r="D161" s="41"/>
      <c r="E161" s="41"/>
    </row>
    <row r="162" spans="1:8" x14ac:dyDescent="0.2">
      <c r="B162" s="77" t="s">
        <v>98</v>
      </c>
      <c r="C162" s="77"/>
      <c r="D162" s="41"/>
      <c r="E162" s="41"/>
      <c r="H162" s="47" t="s">
        <v>90</v>
      </c>
    </row>
    <row r="163" spans="1:8" x14ac:dyDescent="0.2">
      <c r="B163" s="77" t="s">
        <v>38</v>
      </c>
      <c r="C163" s="77"/>
      <c r="D163" s="41"/>
      <c r="E163" s="41"/>
      <c r="H163" s="1" t="s">
        <v>92</v>
      </c>
    </row>
    <row r="164" spans="1:8" x14ac:dyDescent="0.2">
      <c r="H164" s="1" t="s">
        <v>8</v>
      </c>
    </row>
    <row r="165" spans="1:8" x14ac:dyDescent="0.2">
      <c r="H165" s="1" t="s">
        <v>93</v>
      </c>
    </row>
    <row r="166" spans="1:8" x14ac:dyDescent="0.2">
      <c r="H166" s="1" t="s">
        <v>91</v>
      </c>
    </row>
    <row r="168" spans="1:8" x14ac:dyDescent="0.2">
      <c r="A168" s="1" t="s">
        <v>11</v>
      </c>
      <c r="B168" s="72" t="s">
        <v>12</v>
      </c>
      <c r="C168" s="72"/>
      <c r="D168" s="2"/>
      <c r="E168" s="2"/>
    </row>
    <row r="169" spans="1:8" x14ac:dyDescent="0.2">
      <c r="A169" s="1" t="s">
        <v>13</v>
      </c>
      <c r="B169" s="73" t="s">
        <v>105</v>
      </c>
      <c r="C169" s="73"/>
      <c r="D169" s="73"/>
      <c r="E169" s="73"/>
      <c r="F169" s="73"/>
    </row>
    <row r="172" spans="1:8" ht="58.5" x14ac:dyDescent="0.2">
      <c r="A172" s="42" t="s">
        <v>15</v>
      </c>
      <c r="B172" s="42" t="s">
        <v>16</v>
      </c>
      <c r="C172" s="56" t="s">
        <v>17</v>
      </c>
      <c r="D172" s="42" t="s">
        <v>18</v>
      </c>
      <c r="E172" s="42" t="s">
        <v>19</v>
      </c>
      <c r="F172" s="42" t="s">
        <v>20</v>
      </c>
      <c r="G172" s="42" t="s">
        <v>21</v>
      </c>
      <c r="H172" s="42" t="s">
        <v>22</v>
      </c>
    </row>
    <row r="173" spans="1:8" ht="24.95" customHeight="1" x14ac:dyDescent="0.35">
      <c r="A173" s="12" t="s">
        <v>23</v>
      </c>
      <c r="B173" s="52" t="s">
        <v>24</v>
      </c>
      <c r="C173" s="74" t="s">
        <v>104</v>
      </c>
      <c r="D173" s="54">
        <v>1</v>
      </c>
      <c r="E173" s="76" t="s">
        <v>26</v>
      </c>
      <c r="F173" s="13">
        <v>2121000</v>
      </c>
      <c r="G173" s="14">
        <f>SUM(F173*20%)</f>
        <v>424200</v>
      </c>
      <c r="H173" s="78" t="s">
        <v>27</v>
      </c>
    </row>
    <row r="174" spans="1:8" ht="24.95" customHeight="1" x14ac:dyDescent="0.2">
      <c r="A174" s="4"/>
      <c r="B174" s="53" t="s">
        <v>28</v>
      </c>
      <c r="C174" s="75"/>
      <c r="D174" s="55" t="s">
        <v>29</v>
      </c>
      <c r="E174" s="76"/>
      <c r="F174" s="7"/>
      <c r="G174" s="81" t="s">
        <v>106</v>
      </c>
      <c r="H174" s="78"/>
    </row>
    <row r="175" spans="1:8" ht="24.95" customHeight="1" x14ac:dyDescent="0.2">
      <c r="A175" s="4"/>
      <c r="B175" s="53"/>
      <c r="C175" s="37" t="s">
        <v>103</v>
      </c>
      <c r="D175" s="55"/>
      <c r="E175" s="76"/>
      <c r="F175" s="7"/>
      <c r="G175" s="81"/>
      <c r="H175" s="78"/>
    </row>
    <row r="176" spans="1:8" s="51" customFormat="1" ht="24.95" customHeight="1" x14ac:dyDescent="0.2">
      <c r="A176" s="48"/>
      <c r="B176" s="57"/>
      <c r="C176" s="49"/>
      <c r="D176" s="58"/>
      <c r="E176" s="76"/>
      <c r="F176" s="50"/>
      <c r="G176" s="81"/>
      <c r="H176" s="78"/>
    </row>
    <row r="177" spans="1:8" s="51" customFormat="1" x14ac:dyDescent="0.2"/>
    <row r="178" spans="1:8" s="51" customFormat="1" x14ac:dyDescent="0.2"/>
    <row r="179" spans="1:8" s="51" customFormat="1" x14ac:dyDescent="0.2"/>
    <row r="183" spans="1:8" x14ac:dyDescent="0.2">
      <c r="A183" s="70" t="s">
        <v>32</v>
      </c>
      <c r="B183" s="70"/>
      <c r="D183" s="71" t="s">
        <v>33</v>
      </c>
      <c r="E183" s="71"/>
      <c r="F183" s="71"/>
      <c r="G183" s="71"/>
      <c r="H183" s="11" t="s">
        <v>88</v>
      </c>
    </row>
    <row r="184" spans="1:8" x14ac:dyDescent="0.2">
      <c r="A184" s="80" t="s">
        <v>0</v>
      </c>
      <c r="B184" s="80"/>
      <c r="C184" s="80"/>
      <c r="D184" s="80"/>
      <c r="E184" s="80"/>
      <c r="F184" s="80"/>
      <c r="G184" s="80"/>
      <c r="H184" s="80"/>
    </row>
    <row r="185" spans="1:8" x14ac:dyDescent="0.2">
      <c r="A185" s="80" t="s">
        <v>1</v>
      </c>
      <c r="B185" s="80"/>
      <c r="C185" s="80"/>
      <c r="D185" s="80"/>
      <c r="E185" s="80"/>
      <c r="F185" s="80"/>
      <c r="G185" s="80"/>
      <c r="H185" s="80"/>
    </row>
    <row r="187" spans="1:8" x14ac:dyDescent="0.2">
      <c r="A187" s="1" t="s">
        <v>2</v>
      </c>
      <c r="B187" s="77" t="s">
        <v>95</v>
      </c>
      <c r="C187" s="77"/>
      <c r="D187" s="44"/>
      <c r="E187" s="44"/>
    </row>
    <row r="188" spans="1:8" x14ac:dyDescent="0.2">
      <c r="B188" s="77" t="s">
        <v>96</v>
      </c>
      <c r="C188" s="77"/>
      <c r="D188" s="44"/>
      <c r="E188" s="44"/>
      <c r="H188" s="47" t="s">
        <v>99</v>
      </c>
    </row>
    <row r="189" spans="1:8" x14ac:dyDescent="0.2">
      <c r="B189" s="77" t="s">
        <v>97</v>
      </c>
      <c r="C189" s="77"/>
      <c r="D189" s="44"/>
      <c r="E189" s="44"/>
      <c r="H189" s="1" t="s">
        <v>100</v>
      </c>
    </row>
    <row r="190" spans="1:8" x14ac:dyDescent="0.2">
      <c r="H190" s="1" t="s">
        <v>8</v>
      </c>
    </row>
    <row r="191" spans="1:8" x14ac:dyDescent="0.2">
      <c r="H191" s="1" t="s">
        <v>101</v>
      </c>
    </row>
    <row r="192" spans="1:8" x14ac:dyDescent="0.2">
      <c r="H192" s="1" t="s">
        <v>77</v>
      </c>
    </row>
    <row r="194" spans="1:8" x14ac:dyDescent="0.2">
      <c r="A194" s="1" t="s">
        <v>11</v>
      </c>
      <c r="B194" s="72" t="s">
        <v>12</v>
      </c>
      <c r="C194" s="72"/>
      <c r="D194" s="2"/>
      <c r="E194" s="2"/>
    </row>
    <row r="195" spans="1:8" x14ac:dyDescent="0.2">
      <c r="A195" s="1" t="s">
        <v>13</v>
      </c>
      <c r="B195" s="73" t="s">
        <v>94</v>
      </c>
      <c r="C195" s="73"/>
      <c r="D195" s="73"/>
      <c r="E195" s="73"/>
      <c r="F195" s="73"/>
    </row>
    <row r="198" spans="1:8" ht="58.5" x14ac:dyDescent="0.2">
      <c r="A198" s="43" t="s">
        <v>15</v>
      </c>
      <c r="B198" s="43" t="s">
        <v>16</v>
      </c>
      <c r="C198" s="43" t="s">
        <v>17</v>
      </c>
      <c r="D198" s="43" t="s">
        <v>18</v>
      </c>
      <c r="E198" s="43" t="s">
        <v>19</v>
      </c>
      <c r="F198" s="43" t="s">
        <v>20</v>
      </c>
      <c r="G198" s="43" t="s">
        <v>21</v>
      </c>
      <c r="H198" s="43" t="s">
        <v>22</v>
      </c>
    </row>
    <row r="199" spans="1:8" ht="24.95" customHeight="1" x14ac:dyDescent="0.35">
      <c r="A199" s="12" t="s">
        <v>23</v>
      </c>
      <c r="B199" s="3" t="s">
        <v>24</v>
      </c>
      <c r="C199" s="74" t="s">
        <v>25</v>
      </c>
      <c r="D199" s="12">
        <v>1</v>
      </c>
      <c r="E199" s="76" t="s">
        <v>26</v>
      </c>
      <c r="F199" s="13">
        <v>3050000</v>
      </c>
      <c r="G199" s="14">
        <f>SUM(F199*15%)</f>
        <v>457500</v>
      </c>
      <c r="H199" s="78" t="s">
        <v>27</v>
      </c>
    </row>
    <row r="200" spans="1:8" ht="24.95" customHeight="1" x14ac:dyDescent="0.2">
      <c r="A200" s="4"/>
      <c r="B200" s="5" t="s">
        <v>28</v>
      </c>
      <c r="C200" s="74"/>
      <c r="D200" s="6" t="s">
        <v>29</v>
      </c>
      <c r="E200" s="76"/>
      <c r="F200" s="7"/>
      <c r="G200" s="79" t="s">
        <v>79</v>
      </c>
      <c r="H200" s="78"/>
    </row>
    <row r="201" spans="1:8" ht="24.95" customHeight="1" x14ac:dyDescent="0.2">
      <c r="A201" s="4"/>
      <c r="B201" s="5"/>
      <c r="C201" s="37" t="s">
        <v>102</v>
      </c>
      <c r="D201" s="6"/>
      <c r="E201" s="76"/>
      <c r="F201" s="7"/>
      <c r="G201" s="79"/>
      <c r="H201" s="78"/>
    </row>
    <row r="202" spans="1:8" ht="24.95" customHeight="1" x14ac:dyDescent="0.2">
      <c r="A202" s="8"/>
      <c r="B202" s="9"/>
      <c r="C202" s="9"/>
      <c r="D202" s="9"/>
      <c r="E202" s="76"/>
      <c r="F202" s="10"/>
      <c r="G202" s="79"/>
      <c r="H202" s="78"/>
    </row>
    <row r="209" spans="1:8" ht="20.25" thickBot="1" x14ac:dyDescent="0.25">
      <c r="A209" s="70" t="s">
        <v>32</v>
      </c>
      <c r="B209" s="70"/>
      <c r="D209" s="71" t="s">
        <v>33</v>
      </c>
      <c r="E209" s="71"/>
      <c r="F209" s="71"/>
      <c r="G209" s="71"/>
      <c r="H209" s="11" t="s">
        <v>88</v>
      </c>
    </row>
    <row r="210" spans="1:8" x14ac:dyDescent="0.2">
      <c r="A210" s="108" t="s">
        <v>0</v>
      </c>
      <c r="B210" s="109"/>
      <c r="C210" s="109"/>
      <c r="D210" s="109"/>
      <c r="E210" s="109"/>
      <c r="F210" s="109"/>
      <c r="G210" s="109"/>
      <c r="H210" s="110"/>
    </row>
    <row r="211" spans="1:8" x14ac:dyDescent="0.2">
      <c r="A211" s="111" t="s">
        <v>1</v>
      </c>
      <c r="B211" s="112"/>
      <c r="C211" s="112"/>
      <c r="D211" s="112"/>
      <c r="E211" s="112"/>
      <c r="F211" s="112"/>
      <c r="G211" s="112"/>
      <c r="H211" s="113"/>
    </row>
    <row r="212" spans="1:8" x14ac:dyDescent="0.2">
      <c r="A212" s="82"/>
      <c r="B212" s="83"/>
      <c r="C212" s="83"/>
      <c r="D212" s="83"/>
      <c r="E212" s="83"/>
      <c r="F212" s="83"/>
      <c r="G212" s="83"/>
      <c r="H212" s="84"/>
    </row>
    <row r="213" spans="1:8" x14ac:dyDescent="0.2">
      <c r="A213" s="85" t="s">
        <v>2</v>
      </c>
      <c r="B213" s="114" t="s">
        <v>107</v>
      </c>
      <c r="C213" s="114"/>
      <c r="D213" s="83"/>
      <c r="E213" s="83"/>
      <c r="F213" s="83"/>
      <c r="G213" s="83"/>
      <c r="H213" s="84"/>
    </row>
    <row r="214" spans="1:8" x14ac:dyDescent="0.2">
      <c r="A214" s="82"/>
      <c r="B214" s="114" t="s">
        <v>108</v>
      </c>
      <c r="C214" s="114"/>
      <c r="D214" s="83"/>
      <c r="E214" s="83"/>
      <c r="F214" s="83"/>
      <c r="G214" s="83"/>
      <c r="H214" s="86" t="s">
        <v>109</v>
      </c>
    </row>
    <row r="215" spans="1:8" x14ac:dyDescent="0.2">
      <c r="A215" s="82"/>
      <c r="B215" s="114" t="s">
        <v>110</v>
      </c>
      <c r="C215" s="114"/>
      <c r="D215" s="83"/>
      <c r="E215" s="83"/>
      <c r="F215" s="83"/>
      <c r="G215" s="83"/>
      <c r="H215" s="86" t="s">
        <v>111</v>
      </c>
    </row>
    <row r="216" spans="1:8" x14ac:dyDescent="0.2">
      <c r="A216" s="82"/>
      <c r="B216" s="83"/>
      <c r="C216" s="83"/>
      <c r="D216" s="83"/>
      <c r="E216" s="83"/>
      <c r="F216" s="83"/>
      <c r="G216" s="83"/>
      <c r="H216" s="86" t="s">
        <v>8</v>
      </c>
    </row>
    <row r="217" spans="1:8" x14ac:dyDescent="0.2">
      <c r="A217" s="82"/>
      <c r="B217" s="83"/>
      <c r="C217" s="83"/>
      <c r="D217" s="83"/>
      <c r="E217" s="83"/>
      <c r="F217" s="83"/>
      <c r="G217" s="83"/>
      <c r="H217" s="86" t="s">
        <v>112</v>
      </c>
    </row>
    <row r="218" spans="1:8" x14ac:dyDescent="0.2">
      <c r="A218" s="82"/>
      <c r="B218" s="83"/>
      <c r="C218" s="83"/>
      <c r="D218" s="83"/>
      <c r="E218" s="83"/>
      <c r="F218" s="83"/>
      <c r="G218" s="83"/>
      <c r="H218" s="86" t="s">
        <v>113</v>
      </c>
    </row>
    <row r="219" spans="1:8" x14ac:dyDescent="0.2">
      <c r="A219" s="82"/>
      <c r="B219" s="83"/>
      <c r="C219" s="83"/>
      <c r="D219" s="83"/>
      <c r="E219" s="83"/>
      <c r="F219" s="83"/>
      <c r="G219" s="83"/>
      <c r="H219" s="84"/>
    </row>
    <row r="220" spans="1:8" x14ac:dyDescent="0.2">
      <c r="A220" s="85" t="s">
        <v>11</v>
      </c>
      <c r="B220" s="115" t="s">
        <v>12</v>
      </c>
      <c r="C220" s="115"/>
      <c r="D220" s="83"/>
      <c r="E220" s="83"/>
      <c r="F220" s="83"/>
      <c r="G220" s="83"/>
      <c r="H220" s="84"/>
    </row>
    <row r="221" spans="1:8" x14ac:dyDescent="0.2">
      <c r="A221" s="85" t="s">
        <v>13</v>
      </c>
      <c r="B221" s="114" t="s">
        <v>114</v>
      </c>
      <c r="C221" s="114"/>
      <c r="D221" s="114"/>
      <c r="E221" s="114"/>
      <c r="F221" s="114"/>
      <c r="G221" s="83"/>
      <c r="H221" s="84"/>
    </row>
    <row r="222" spans="1:8" ht="20.25" thickBot="1" x14ac:dyDescent="0.25">
      <c r="A222" s="82"/>
      <c r="B222" s="83"/>
      <c r="C222" s="83"/>
      <c r="D222" s="83"/>
      <c r="E222" s="83"/>
      <c r="F222" s="83"/>
      <c r="G222" s="83"/>
      <c r="H222" s="84"/>
    </row>
    <row r="223" spans="1:8" ht="59.25" thickBot="1" x14ac:dyDescent="0.25">
      <c r="A223" s="87" t="s">
        <v>15</v>
      </c>
      <c r="B223" s="88" t="s">
        <v>16</v>
      </c>
      <c r="C223" s="89" t="s">
        <v>17</v>
      </c>
      <c r="D223" s="88" t="s">
        <v>18</v>
      </c>
      <c r="E223" s="88" t="s">
        <v>19</v>
      </c>
      <c r="F223" s="88" t="s">
        <v>20</v>
      </c>
      <c r="G223" s="88" t="s">
        <v>21</v>
      </c>
      <c r="H223" s="88" t="s">
        <v>22</v>
      </c>
    </row>
    <row r="224" spans="1:8" ht="38.25" customHeight="1" x14ac:dyDescent="0.2">
      <c r="A224" s="90" t="s">
        <v>23</v>
      </c>
      <c r="B224" s="91" t="s">
        <v>24</v>
      </c>
      <c r="C224" s="116" t="s">
        <v>115</v>
      </c>
      <c r="D224" s="93">
        <v>1</v>
      </c>
      <c r="E224" s="118" t="s">
        <v>26</v>
      </c>
      <c r="F224" s="95" t="s">
        <v>116</v>
      </c>
      <c r="G224" s="96">
        <v>83700</v>
      </c>
      <c r="H224" s="121" t="s">
        <v>27</v>
      </c>
    </row>
    <row r="225" spans="1:8" x14ac:dyDescent="0.2">
      <c r="A225" s="90"/>
      <c r="B225" s="91" t="s">
        <v>28</v>
      </c>
      <c r="C225" s="117"/>
      <c r="D225" s="94" t="s">
        <v>29</v>
      </c>
      <c r="E225" s="119"/>
      <c r="F225" s="95"/>
      <c r="G225" s="122" t="s">
        <v>117</v>
      </c>
      <c r="H225" s="122"/>
    </row>
    <row r="226" spans="1:8" x14ac:dyDescent="0.2">
      <c r="A226" s="90"/>
      <c r="B226" s="92"/>
      <c r="C226" s="97" t="s">
        <v>118</v>
      </c>
      <c r="D226" s="94"/>
      <c r="E226" s="119"/>
      <c r="F226" s="95"/>
      <c r="G226" s="122"/>
      <c r="H226" s="122"/>
    </row>
    <row r="227" spans="1:8" ht="20.25" thickBot="1" x14ac:dyDescent="0.25">
      <c r="A227" s="98"/>
      <c r="B227" s="99"/>
      <c r="C227" s="100"/>
      <c r="D227" s="101"/>
      <c r="E227" s="120"/>
      <c r="F227" s="102"/>
      <c r="G227" s="123"/>
      <c r="H227" s="123"/>
    </row>
    <row r="228" spans="1:8" x14ac:dyDescent="0.2">
      <c r="A228" s="103"/>
      <c r="B228" s="104"/>
      <c r="C228" s="104"/>
      <c r="D228" s="104"/>
      <c r="E228" s="104"/>
      <c r="F228" s="104"/>
      <c r="G228" s="104"/>
      <c r="H228" s="105"/>
    </row>
    <row r="229" spans="1:8" x14ac:dyDescent="0.2">
      <c r="A229" s="82"/>
      <c r="B229" s="83"/>
      <c r="C229" s="83"/>
      <c r="D229" s="83"/>
      <c r="E229" s="83"/>
      <c r="F229" s="83"/>
      <c r="G229" s="83"/>
      <c r="H229" s="84"/>
    </row>
    <row r="230" spans="1:8" x14ac:dyDescent="0.2">
      <c r="A230" s="82"/>
      <c r="B230" s="83"/>
      <c r="C230" s="83"/>
      <c r="D230" s="83"/>
      <c r="E230" s="83"/>
      <c r="F230" s="83"/>
      <c r="G230" s="83"/>
      <c r="H230" s="84"/>
    </row>
    <row r="231" spans="1:8" x14ac:dyDescent="0.2">
      <c r="A231" s="82"/>
      <c r="B231" s="83"/>
      <c r="C231" s="83"/>
      <c r="D231" s="83"/>
      <c r="E231" s="83"/>
      <c r="F231" s="83"/>
      <c r="G231" s="83"/>
      <c r="H231" s="84"/>
    </row>
    <row r="232" spans="1:8" ht="20.25" thickBot="1" x14ac:dyDescent="0.25">
      <c r="A232" s="124" t="s">
        <v>32</v>
      </c>
      <c r="B232" s="125"/>
      <c r="C232" s="106"/>
      <c r="D232" s="126" t="s">
        <v>33</v>
      </c>
      <c r="E232" s="126"/>
      <c r="F232" s="126"/>
      <c r="G232" s="126"/>
      <c r="H232" s="107" t="s">
        <v>88</v>
      </c>
    </row>
  </sheetData>
  <mergeCells count="117">
    <mergeCell ref="A232:B232"/>
    <mergeCell ref="D232:G232"/>
    <mergeCell ref="A210:H210"/>
    <mergeCell ref="A211:H211"/>
    <mergeCell ref="B213:C213"/>
    <mergeCell ref="B214:C214"/>
    <mergeCell ref="B215:C215"/>
    <mergeCell ref="B220:C220"/>
    <mergeCell ref="B221:F221"/>
    <mergeCell ref="C224:C225"/>
    <mergeCell ref="E224:E227"/>
    <mergeCell ref="H224:H227"/>
    <mergeCell ref="G225:G227"/>
    <mergeCell ref="H147:H150"/>
    <mergeCell ref="G148:G150"/>
    <mergeCell ref="A133:H133"/>
    <mergeCell ref="B135:C135"/>
    <mergeCell ref="B136:C136"/>
    <mergeCell ref="B137:C137"/>
    <mergeCell ref="B142:C142"/>
    <mergeCell ref="A209:B209"/>
    <mergeCell ref="D209:G209"/>
    <mergeCell ref="B194:C194"/>
    <mergeCell ref="B195:F195"/>
    <mergeCell ref="C199:C200"/>
    <mergeCell ref="E199:E202"/>
    <mergeCell ref="H199:H202"/>
    <mergeCell ref="G200:G202"/>
    <mergeCell ref="A184:H184"/>
    <mergeCell ref="A185:H185"/>
    <mergeCell ref="B187:C187"/>
    <mergeCell ref="B188:C188"/>
    <mergeCell ref="B189:C189"/>
    <mergeCell ref="H173:H176"/>
    <mergeCell ref="G174:G176"/>
    <mergeCell ref="A158:H158"/>
    <mergeCell ref="A159:H159"/>
    <mergeCell ref="D53:G53"/>
    <mergeCell ref="H121:H124"/>
    <mergeCell ref="G122:G124"/>
    <mergeCell ref="A131:B131"/>
    <mergeCell ref="D131:G131"/>
    <mergeCell ref="A132:H132"/>
    <mergeCell ref="B110:C110"/>
    <mergeCell ref="B111:C111"/>
    <mergeCell ref="B116:C116"/>
    <mergeCell ref="B117:F117"/>
    <mergeCell ref="C121:C122"/>
    <mergeCell ref="E121:E124"/>
    <mergeCell ref="A79:B79"/>
    <mergeCell ref="D79:G79"/>
    <mergeCell ref="B64:C64"/>
    <mergeCell ref="B65:F65"/>
    <mergeCell ref="C69:C70"/>
    <mergeCell ref="E69:E72"/>
    <mergeCell ref="H69:H72"/>
    <mergeCell ref="G70:G72"/>
    <mergeCell ref="B57:C57"/>
    <mergeCell ref="B58:C58"/>
    <mergeCell ref="B59:C59"/>
    <mergeCell ref="B109:C109"/>
    <mergeCell ref="B90:C90"/>
    <mergeCell ref="B91:F91"/>
    <mergeCell ref="C95:C96"/>
    <mergeCell ref="A1:H1"/>
    <mergeCell ref="A2:H2"/>
    <mergeCell ref="B4:C4"/>
    <mergeCell ref="B5:C5"/>
    <mergeCell ref="B6:C6"/>
    <mergeCell ref="B11:C11"/>
    <mergeCell ref="B12:F12"/>
    <mergeCell ref="C16:C17"/>
    <mergeCell ref="E16:E19"/>
    <mergeCell ref="H16:H19"/>
    <mergeCell ref="G17:G19"/>
    <mergeCell ref="A26:B26"/>
    <mergeCell ref="D26:G26"/>
    <mergeCell ref="A27:H27"/>
    <mergeCell ref="A28:H28"/>
    <mergeCell ref="B30:C30"/>
    <mergeCell ref="H42:H45"/>
    <mergeCell ref="G43:G45"/>
    <mergeCell ref="A53:B53"/>
    <mergeCell ref="A80:H80"/>
    <mergeCell ref="A183:B183"/>
    <mergeCell ref="D183:G183"/>
    <mergeCell ref="B168:C168"/>
    <mergeCell ref="B169:F169"/>
    <mergeCell ref="C173:C174"/>
    <mergeCell ref="E173:E176"/>
    <mergeCell ref="B161:C161"/>
    <mergeCell ref="B162:C162"/>
    <mergeCell ref="B163:C163"/>
    <mergeCell ref="B31:C31"/>
    <mergeCell ref="B32:C32"/>
    <mergeCell ref="B37:C37"/>
    <mergeCell ref="B38:F38"/>
    <mergeCell ref="C42:C43"/>
    <mergeCell ref="E42:E45"/>
    <mergeCell ref="E95:E98"/>
    <mergeCell ref="A157:B157"/>
    <mergeCell ref="D157:G157"/>
    <mergeCell ref="B143:F143"/>
    <mergeCell ref="C147:C148"/>
    <mergeCell ref="E147:E150"/>
    <mergeCell ref="A54:H54"/>
    <mergeCell ref="A55:H55"/>
    <mergeCell ref="A81:H81"/>
    <mergeCell ref="B83:C83"/>
    <mergeCell ref="B84:C84"/>
    <mergeCell ref="B85:C85"/>
    <mergeCell ref="A105:B105"/>
    <mergeCell ref="D105:G105"/>
    <mergeCell ref="H95:H98"/>
    <mergeCell ref="G96:G98"/>
    <mergeCell ref="A106:H106"/>
    <mergeCell ref="A107:H107"/>
  </mergeCells>
  <pageMargins left="1" right="0.5" top="0.31527777777777799" bottom="0.31527777777777799" header="0.511811023622047" footer="0.511811023622047"/>
  <pageSetup paperSize="5" orientation="landscape" useFirstPageNumber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zoomScaleNormal="100" workbookViewId="0">
      <selection activeCell="E8" sqref="E8"/>
    </sheetView>
  </sheetViews>
  <sheetFormatPr defaultColWidth="8.7109375" defaultRowHeight="16.5" x14ac:dyDescent="0.2"/>
  <cols>
    <col min="1" max="1" width="10.42578125" style="15" customWidth="1"/>
    <col min="2" max="2" width="12.42578125" style="15" customWidth="1"/>
    <col min="3" max="3" width="15.5703125" style="16" customWidth="1"/>
    <col min="4" max="4" width="15.42578125" style="16" customWidth="1"/>
    <col min="5" max="5" width="18.28515625" style="16" customWidth="1"/>
    <col min="6" max="6" width="19.140625" style="16" customWidth="1"/>
    <col min="7" max="16384" width="8.7109375" style="15"/>
  </cols>
  <sheetData>
    <row r="1" spans="1:6" ht="49.5" x14ac:dyDescent="0.2">
      <c r="A1" s="15" t="s">
        <v>44</v>
      </c>
      <c r="B1" s="15" t="s">
        <v>45</v>
      </c>
      <c r="C1" s="16" t="s">
        <v>46</v>
      </c>
      <c r="D1" s="17" t="s">
        <v>47</v>
      </c>
      <c r="E1" s="17" t="s">
        <v>48</v>
      </c>
      <c r="F1" s="17" t="s">
        <v>49</v>
      </c>
    </row>
    <row r="2" spans="1:6" x14ac:dyDescent="0.2">
      <c r="A2" s="15">
        <v>1</v>
      </c>
      <c r="B2" s="15" t="s">
        <v>50</v>
      </c>
      <c r="C2" s="16">
        <v>1120500</v>
      </c>
      <c r="D2" s="16">
        <f t="shared" ref="D2:D11" si="0">IF(LOWER(B2)="gc",15%*C2,20%*C2)</f>
        <v>168075</v>
      </c>
      <c r="E2" s="16">
        <v>121133647.09</v>
      </c>
      <c r="F2" s="16">
        <f t="shared" ref="F2:F11" si="1">SUM(E2+D2)</f>
        <v>121301722.09</v>
      </c>
    </row>
    <row r="3" spans="1:6" x14ac:dyDescent="0.2">
      <c r="A3" s="15">
        <v>2</v>
      </c>
      <c r="B3" s="15" t="s">
        <v>50</v>
      </c>
      <c r="C3" s="16">
        <v>2261000</v>
      </c>
      <c r="D3" s="16">
        <f t="shared" si="0"/>
        <v>339150</v>
      </c>
      <c r="E3" s="16">
        <f t="shared" ref="E3:E11" si="2">F2</f>
        <v>121301722.09</v>
      </c>
      <c r="F3" s="16">
        <f t="shared" si="1"/>
        <v>121640872.09</v>
      </c>
    </row>
    <row r="4" spans="1:6" x14ac:dyDescent="0.2">
      <c r="A4" s="15">
        <v>3</v>
      </c>
      <c r="B4" s="15" t="s">
        <v>50</v>
      </c>
      <c r="C4" s="16">
        <v>2390500</v>
      </c>
      <c r="D4" s="16">
        <f t="shared" si="0"/>
        <v>358575</v>
      </c>
      <c r="E4" s="16">
        <f t="shared" si="2"/>
        <v>121640872.09</v>
      </c>
      <c r="F4" s="16">
        <f t="shared" si="1"/>
        <v>121999447.09</v>
      </c>
    </row>
    <row r="5" spans="1:6" x14ac:dyDescent="0.2">
      <c r="A5" s="15">
        <v>4</v>
      </c>
      <c r="B5" s="15" t="s">
        <v>50</v>
      </c>
      <c r="C5" s="16">
        <v>2105000</v>
      </c>
      <c r="D5" s="16">
        <f t="shared" si="0"/>
        <v>315750</v>
      </c>
      <c r="E5" s="16">
        <f t="shared" si="2"/>
        <v>121999447.09</v>
      </c>
      <c r="F5" s="16">
        <f t="shared" si="1"/>
        <v>122315197.09</v>
      </c>
    </row>
    <row r="6" spans="1:6" x14ac:dyDescent="0.2">
      <c r="A6" s="15">
        <v>5</v>
      </c>
      <c r="B6" s="15" t="s">
        <v>50</v>
      </c>
      <c r="C6" s="16">
        <v>575000</v>
      </c>
      <c r="D6" s="16">
        <f t="shared" si="0"/>
        <v>86250</v>
      </c>
      <c r="E6" s="16">
        <f t="shared" si="2"/>
        <v>122315197.09</v>
      </c>
      <c r="F6" s="16">
        <f t="shared" si="1"/>
        <v>122401447.09</v>
      </c>
    </row>
    <row r="7" spans="1:6" x14ac:dyDescent="0.2">
      <c r="A7" s="15">
        <v>6</v>
      </c>
      <c r="B7" s="15" t="s">
        <v>50</v>
      </c>
      <c r="C7" s="16">
        <v>575000</v>
      </c>
      <c r="D7" s="16">
        <f t="shared" si="0"/>
        <v>86250</v>
      </c>
      <c r="E7" s="16">
        <f t="shared" si="2"/>
        <v>122401447.09</v>
      </c>
      <c r="F7" s="16">
        <f t="shared" si="1"/>
        <v>122487697.09</v>
      </c>
    </row>
    <row r="8" spans="1:6" x14ac:dyDescent="0.2">
      <c r="A8" s="15">
        <v>7</v>
      </c>
      <c r="B8" s="15" t="s">
        <v>50</v>
      </c>
      <c r="C8" s="16">
        <v>1886500</v>
      </c>
      <c r="D8" s="16">
        <f t="shared" si="0"/>
        <v>282975</v>
      </c>
      <c r="E8" s="16">
        <f t="shared" si="2"/>
        <v>122487697.09</v>
      </c>
      <c r="F8" s="16">
        <f t="shared" si="1"/>
        <v>122770672.09</v>
      </c>
    </row>
    <row r="9" spans="1:6" x14ac:dyDescent="0.2">
      <c r="C9" s="16">
        <v>0</v>
      </c>
      <c r="D9" s="16">
        <f t="shared" si="0"/>
        <v>0</v>
      </c>
      <c r="E9" s="16">
        <f t="shared" si="2"/>
        <v>122770672.09</v>
      </c>
      <c r="F9" s="16">
        <f t="shared" si="1"/>
        <v>122770672.09</v>
      </c>
    </row>
    <row r="10" spans="1:6" x14ac:dyDescent="0.2">
      <c r="C10" s="16">
        <v>0</v>
      </c>
      <c r="D10" s="16">
        <f t="shared" si="0"/>
        <v>0</v>
      </c>
      <c r="E10" s="16">
        <f t="shared" si="2"/>
        <v>122770672.09</v>
      </c>
      <c r="F10" s="16">
        <f t="shared" si="1"/>
        <v>122770672.09</v>
      </c>
    </row>
    <row r="11" spans="1:6" x14ac:dyDescent="0.2">
      <c r="C11" s="16">
        <v>0</v>
      </c>
      <c r="D11" s="16">
        <f t="shared" si="0"/>
        <v>0</v>
      </c>
      <c r="E11" s="16">
        <f t="shared" si="2"/>
        <v>122770672.09</v>
      </c>
      <c r="F11" s="16">
        <f t="shared" si="1"/>
        <v>122770672.09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Revenue &amp; Return</dc:creator>
  <dc:description/>
  <cp:lastModifiedBy>Revenue &amp; Return</cp:lastModifiedBy>
  <cp:revision>39</cp:revision>
  <cp:lastPrinted>2024-07-07T06:49:17Z</cp:lastPrinted>
  <dcterms:created xsi:type="dcterms:W3CDTF">2024-03-10T16:19:49Z</dcterms:created>
  <dcterms:modified xsi:type="dcterms:W3CDTF">2024-07-08T04:37:32Z</dcterms:modified>
  <dc:language>en-US</dc:language>
</cp:coreProperties>
</file>